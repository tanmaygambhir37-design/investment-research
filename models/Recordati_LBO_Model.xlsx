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anmaygambhir/Documents/Projects/Personal Research/Investment Memo/site/models/"/>
    </mc:Choice>
  </mc:AlternateContent>
  <xr:revisionPtr revIDLastSave="0" documentId="11_1773F80B0582969F5DD1C697DB256B30E5B2C564" xr6:coauthVersionLast="47" xr6:coauthVersionMax="47" xr10:uidLastSave="{00000000-0000-0000-0000-000000000000}"/>
  <bookViews>
    <workbookView xWindow="0" yWindow="0" windowWidth="28800" windowHeight="13560" activeTab="2" xr2:uid="{00000000-000D-0000-FFFF-FFFF00000000}"/>
  </bookViews>
  <sheets>
    <sheet name="00 Executive Summary" sheetId="1" r:id="rId1"/>
    <sheet name="01 Cover" sheetId="2" r:id="rId2"/>
    <sheet name="03 Assumptions" sheetId="3" r:id="rId3"/>
    <sheet name="02 Sources" sheetId="4" r:id="rId4"/>
    <sheet name="04 Historical Financials" sheetId="5" r:id="rId5"/>
    <sheet name="05 Transaction Overview" sheetId="6" r:id="rId6"/>
    <sheet name="06 Sources &amp; Uses" sheetId="7" r:id="rId7"/>
    <sheet name="07 Purchase Price" sheetId="8" r:id="rId8"/>
    <sheet name="09 Operating Model" sheetId="9" r:id="rId9"/>
    <sheet name="08 Debt Schedule" sheetId="10" r:id="rId10"/>
    <sheet name="10 Returns" sheetId="11" r:id="rId11"/>
    <sheet name="11 Sensitivities" sheetId="12" r:id="rId12"/>
    <sheet name="12 Charts" sheetId="13" r:id="rId13"/>
    <sheet name="13 Dashboar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3" l="1"/>
  <c r="B101" i="12"/>
  <c r="B100" i="12"/>
  <c r="B99" i="12"/>
  <c r="E69" i="12"/>
  <c r="D69" i="12"/>
  <c r="C69" i="12"/>
  <c r="G57" i="12"/>
  <c r="F57" i="12"/>
  <c r="E57" i="12"/>
  <c r="D57" i="12"/>
  <c r="C57" i="12"/>
  <c r="B10" i="11"/>
  <c r="K33" i="10"/>
  <c r="J33" i="10"/>
  <c r="I33" i="10"/>
  <c r="H33" i="10"/>
  <c r="G33" i="10"/>
  <c r="J26" i="10"/>
  <c r="G26" i="10"/>
  <c r="K24" i="10"/>
  <c r="J24" i="10"/>
  <c r="I24" i="10"/>
  <c r="H24" i="10"/>
  <c r="G24" i="10"/>
  <c r="K15" i="10"/>
  <c r="J15" i="10"/>
  <c r="I15" i="10"/>
  <c r="H15" i="10"/>
  <c r="G15" i="10"/>
  <c r="G5" i="10"/>
  <c r="F6" i="9"/>
  <c r="G6" i="9" s="1"/>
  <c r="H6" i="9" s="1"/>
  <c r="I6" i="9" s="1"/>
  <c r="J6" i="9" s="1"/>
  <c r="K6" i="9" s="1"/>
  <c r="F5" i="9"/>
  <c r="B10" i="8"/>
  <c r="B6" i="8"/>
  <c r="B4" i="8"/>
  <c r="B3" i="8"/>
  <c r="B18" i="7"/>
  <c r="B14" i="7"/>
  <c r="B8" i="7"/>
  <c r="F17" i="5"/>
  <c r="E17" i="5"/>
  <c r="D17" i="5"/>
  <c r="C17" i="5"/>
  <c r="B17" i="5"/>
  <c r="F16" i="5"/>
  <c r="E16" i="5"/>
  <c r="D16" i="5"/>
  <c r="C16" i="5"/>
  <c r="F15" i="5"/>
  <c r="E15" i="5"/>
  <c r="D15" i="5"/>
  <c r="C15" i="5"/>
  <c r="B15" i="5"/>
  <c r="B64" i="3"/>
  <c r="B52" i="3"/>
  <c r="B23" i="3" s="1"/>
  <c r="B5" i="7" s="1"/>
  <c r="B22" i="3"/>
  <c r="F13" i="3"/>
  <c r="H26" i="10" s="1"/>
  <c r="F12" i="3"/>
  <c r="F11" i="3"/>
  <c r="F10" i="3"/>
  <c r="B7" i="14" s="1"/>
  <c r="F9" i="3"/>
  <c r="B18" i="1" s="1"/>
  <c r="F8" i="3"/>
  <c r="B17" i="1" s="1"/>
  <c r="F7" i="3"/>
  <c r="F6" i="3"/>
  <c r="B16" i="1" s="1"/>
  <c r="C3" i="3"/>
  <c r="B4" i="7" l="1"/>
  <c r="B5" i="8"/>
  <c r="B22" i="14"/>
  <c r="B8" i="14"/>
  <c r="B3" i="11"/>
  <c r="B7" i="1"/>
  <c r="F15" i="9"/>
  <c r="F7" i="9"/>
  <c r="G5" i="9"/>
  <c r="G8" i="10"/>
  <c r="B20" i="1"/>
  <c r="B5" i="11"/>
  <c r="I26" i="10"/>
  <c r="H17" i="9"/>
  <c r="I17" i="9" s="1"/>
  <c r="J17" i="9" s="1"/>
  <c r="K17" i="9" s="1"/>
  <c r="G6" i="10"/>
  <c r="H5" i="10" l="1"/>
  <c r="F10" i="9"/>
  <c r="F13" i="9"/>
  <c r="F12" i="9"/>
  <c r="F8" i="9"/>
  <c r="H5" i="9"/>
  <c r="G7" i="9"/>
  <c r="G15" i="9" s="1"/>
  <c r="B7" i="8"/>
  <c r="B14" i="8"/>
  <c r="A13" i="8" s="1"/>
  <c r="B6" i="7" l="1"/>
  <c r="B11" i="8"/>
  <c r="B8" i="8"/>
  <c r="F11" i="9"/>
  <c r="A20" i="9"/>
  <c r="F9" i="9"/>
  <c r="F18" i="9"/>
  <c r="B9" i="8" s="1"/>
  <c r="H7" i="9"/>
  <c r="H15" i="9"/>
  <c r="I5" i="9"/>
  <c r="H6" i="10"/>
  <c r="H8" i="10" s="1"/>
  <c r="G13" i="9"/>
  <c r="G29" i="10" s="1"/>
  <c r="G10" i="9"/>
  <c r="G12" i="9"/>
  <c r="G28" i="10" s="1"/>
  <c r="G8" i="9"/>
  <c r="I5" i="10" l="1"/>
  <c r="B18" i="14"/>
  <c r="B6" i="14"/>
  <c r="J5" i="9"/>
  <c r="I15" i="9"/>
  <c r="I7" i="9"/>
  <c r="G24" i="12"/>
  <c r="D23" i="12"/>
  <c r="F21" i="12"/>
  <c r="E24" i="12"/>
  <c r="G22" i="12"/>
  <c r="D21" i="12"/>
  <c r="E25" i="12"/>
  <c r="G23" i="12"/>
  <c r="D22" i="12"/>
  <c r="C25" i="12"/>
  <c r="E23" i="12"/>
  <c r="G21" i="12"/>
  <c r="D25" i="12"/>
  <c r="C22" i="12"/>
  <c r="F24" i="12"/>
  <c r="E21" i="12"/>
  <c r="D24" i="12"/>
  <c r="C21" i="12"/>
  <c r="C24" i="12"/>
  <c r="C23" i="12"/>
  <c r="F23" i="12"/>
  <c r="G25" i="12"/>
  <c r="F22" i="12"/>
  <c r="F25" i="12"/>
  <c r="E22" i="12"/>
  <c r="G18" i="9"/>
  <c r="G16" i="9"/>
  <c r="G9" i="9"/>
  <c r="G11" i="9"/>
  <c r="H12" i="9"/>
  <c r="H28" i="10" s="1"/>
  <c r="H8" i="9"/>
  <c r="H10" i="9"/>
  <c r="H13" i="9"/>
  <c r="H29" i="10" s="1"/>
  <c r="C70" i="12"/>
  <c r="B9" i="7"/>
  <c r="E70" i="12"/>
  <c r="D70" i="12"/>
  <c r="H11" i="9" l="1"/>
  <c r="H18" i="9"/>
  <c r="H16" i="9"/>
  <c r="H9" i="9"/>
  <c r="I10" i="9"/>
  <c r="I12" i="9"/>
  <c r="I28" i="10" s="1"/>
  <c r="I8" i="9"/>
  <c r="I13" i="9"/>
  <c r="I29" i="10" s="1"/>
  <c r="J7" i="9"/>
  <c r="J15" i="9"/>
  <c r="K5" i="9"/>
  <c r="B5" i="13"/>
  <c r="C72" i="12"/>
  <c r="G27" i="10"/>
  <c r="E72" i="12"/>
  <c r="D72" i="12"/>
  <c r="B7" i="7"/>
  <c r="B13" i="7"/>
  <c r="I6" i="10"/>
  <c r="I8" i="10" s="1"/>
  <c r="J5" i="10" l="1"/>
  <c r="B20" i="14"/>
  <c r="B12" i="7"/>
  <c r="B19" i="7"/>
  <c r="B9" i="14"/>
  <c r="B15" i="7"/>
  <c r="B19" i="1"/>
  <c r="C78" i="12"/>
  <c r="C90" i="12"/>
  <c r="C84" i="12"/>
  <c r="C73" i="12" s="1"/>
  <c r="D84" i="12"/>
  <c r="D90" i="12"/>
  <c r="D78" i="12"/>
  <c r="J12" i="9"/>
  <c r="J28" i="10" s="1"/>
  <c r="J8" i="9"/>
  <c r="J13" i="9"/>
  <c r="J29" i="10" s="1"/>
  <c r="J10" i="9"/>
  <c r="K7" i="9"/>
  <c r="E90" i="12"/>
  <c r="E84" i="12"/>
  <c r="E78" i="12"/>
  <c r="E73" i="12" s="1"/>
  <c r="D73" i="12"/>
  <c r="C5" i="13"/>
  <c r="H27" i="10"/>
  <c r="I16" i="9"/>
  <c r="I11" i="9"/>
  <c r="I9" i="9"/>
  <c r="I18" i="9"/>
  <c r="A21" i="7" l="1"/>
  <c r="B22" i="7"/>
  <c r="K12" i="9"/>
  <c r="K28" i="10" s="1"/>
  <c r="K8" i="9"/>
  <c r="K13" i="9"/>
  <c r="K29" i="10" s="1"/>
  <c r="K10" i="9"/>
  <c r="C85" i="12"/>
  <c r="J9" i="9"/>
  <c r="J18" i="9"/>
  <c r="J16" i="9"/>
  <c r="J11" i="9"/>
  <c r="E85" i="12"/>
  <c r="D5" i="13"/>
  <c r="I27" i="10"/>
  <c r="D79" i="12"/>
  <c r="J6" i="10"/>
  <c r="J8" i="10"/>
  <c r="C91" i="12"/>
  <c r="C79" i="12"/>
  <c r="C74" i="12" s="1"/>
  <c r="D91" i="12"/>
  <c r="A24" i="7"/>
  <c r="G10" i="10"/>
  <c r="F28" i="12"/>
  <c r="F42" i="12" s="1"/>
  <c r="D28" i="12"/>
  <c r="D42" i="12" s="1"/>
  <c r="G28" i="12"/>
  <c r="E28" i="12"/>
  <c r="C28" i="12"/>
  <c r="E79" i="12"/>
  <c r="E74" i="12" s="1"/>
  <c r="E91" i="12"/>
  <c r="K15" i="9"/>
  <c r="D85" i="12"/>
  <c r="D74" i="12" s="1"/>
  <c r="C49" i="12" l="1"/>
  <c r="C35" i="12"/>
  <c r="E49" i="12"/>
  <c r="E35" i="12"/>
  <c r="G49" i="12"/>
  <c r="G35" i="12"/>
  <c r="J27" i="10"/>
  <c r="E5" i="13"/>
  <c r="D75" i="12"/>
  <c r="C75" i="12"/>
  <c r="C42" i="12"/>
  <c r="F35" i="12"/>
  <c r="F49" i="12"/>
  <c r="C86" i="12"/>
  <c r="K11" i="9"/>
  <c r="K16" i="9"/>
  <c r="K9" i="9"/>
  <c r="K18" i="9"/>
  <c r="E42" i="12"/>
  <c r="K5" i="10"/>
  <c r="D49" i="12"/>
  <c r="D35" i="12"/>
  <c r="D92" i="12"/>
  <c r="C92" i="12"/>
  <c r="E92" i="12"/>
  <c r="G42" i="12"/>
  <c r="C80" i="12"/>
  <c r="D86" i="12"/>
  <c r="E80" i="12"/>
  <c r="G22" i="10"/>
  <c r="G25" i="10" s="1"/>
  <c r="D80" i="12"/>
  <c r="E86" i="12"/>
  <c r="D29" i="12" l="1"/>
  <c r="D43" i="12" s="1"/>
  <c r="E43" i="12"/>
  <c r="C43" i="12"/>
  <c r="E36" i="12"/>
  <c r="E29" i="12"/>
  <c r="E50" i="12" s="1"/>
  <c r="C81" i="12"/>
  <c r="E93" i="12"/>
  <c r="B12" i="14"/>
  <c r="F5" i="13"/>
  <c r="C76" i="12"/>
  <c r="B4" i="11"/>
  <c r="K27" i="10"/>
  <c r="D87" i="12"/>
  <c r="C50" i="12"/>
  <c r="D81" i="12"/>
  <c r="C93" i="12"/>
  <c r="C94" i="12" s="1"/>
  <c r="C87" i="12"/>
  <c r="F29" i="12"/>
  <c r="F43" i="12" s="1"/>
  <c r="D50" i="12"/>
  <c r="G31" i="10"/>
  <c r="G39" i="10"/>
  <c r="G37" i="10"/>
  <c r="G30" i="10"/>
  <c r="E75" i="12"/>
  <c r="E81" i="12" s="1"/>
  <c r="C29" i="12"/>
  <c r="C36" i="12" s="1"/>
  <c r="E87" i="12"/>
  <c r="D93" i="12"/>
  <c r="K8" i="10"/>
  <c r="K6" i="10"/>
  <c r="G29" i="12"/>
  <c r="G36" i="12" s="1"/>
  <c r="E76" i="12" l="1"/>
  <c r="E82" i="12" s="1"/>
  <c r="C30" i="12"/>
  <c r="C51" i="12" s="1"/>
  <c r="C44" i="12"/>
  <c r="G38" i="10"/>
  <c r="G32" i="10"/>
  <c r="G34" i="10" s="1"/>
  <c r="E30" i="12"/>
  <c r="E44" i="12" s="1"/>
  <c r="B13" i="14"/>
  <c r="A40" i="10"/>
  <c r="D82" i="12"/>
  <c r="E94" i="12"/>
  <c r="D76" i="12"/>
  <c r="D88" i="12" s="1"/>
  <c r="G50" i="12"/>
  <c r="G43" i="12"/>
  <c r="D94" i="12"/>
  <c r="C82" i="12"/>
  <c r="F36" i="12"/>
  <c r="D36" i="12"/>
  <c r="B6" i="11"/>
  <c r="B16" i="11"/>
  <c r="B17" i="11"/>
  <c r="B12" i="13" s="1"/>
  <c r="F50" i="12"/>
  <c r="C88" i="12"/>
  <c r="D100" i="12" l="1"/>
  <c r="C100" i="12"/>
  <c r="E100" i="12"/>
  <c r="G12" i="10"/>
  <c r="G13" i="10" s="1"/>
  <c r="E51" i="12"/>
  <c r="B11" i="13"/>
  <c r="C37" i="12"/>
  <c r="D30" i="12"/>
  <c r="G30" i="12"/>
  <c r="G37" i="12" s="1"/>
  <c r="F30" i="12"/>
  <c r="F44" i="12" s="1"/>
  <c r="E37" i="12"/>
  <c r="C99" i="12"/>
  <c r="E99" i="12"/>
  <c r="D99" i="12"/>
  <c r="E88" i="12"/>
  <c r="C101" i="12" s="1"/>
  <c r="G18" i="10" l="1"/>
  <c r="D101" i="12"/>
  <c r="F51" i="12"/>
  <c r="D51" i="12"/>
  <c r="D44" i="12"/>
  <c r="D37" i="12"/>
  <c r="E101" i="12"/>
  <c r="C31" i="12"/>
  <c r="G51" i="12"/>
  <c r="G44" i="12"/>
  <c r="G31" i="12" s="1"/>
  <c r="G38" i="12" s="1"/>
  <c r="F37" i="12"/>
  <c r="H10" i="10"/>
  <c r="G17" i="10"/>
  <c r="G19" i="10" s="1"/>
  <c r="E31" i="12"/>
  <c r="E45" i="12" s="1"/>
  <c r="C45" i="12" l="1"/>
  <c r="C52" i="12"/>
  <c r="G45" i="12"/>
  <c r="C38" i="12"/>
  <c r="E38" i="12"/>
  <c r="F31" i="12"/>
  <c r="F45" i="12" s="1"/>
  <c r="G52" i="12"/>
  <c r="F52" i="12"/>
  <c r="B6" i="13"/>
  <c r="G36" i="10"/>
  <c r="B7" i="13" s="1"/>
  <c r="D38" i="12"/>
  <c r="D31" i="12"/>
  <c r="D52" i="12" s="1"/>
  <c r="E52" i="12"/>
  <c r="H22" i="10"/>
  <c r="H25" i="10" s="1"/>
  <c r="D45" i="12"/>
  <c r="D32" i="12" l="1"/>
  <c r="D53" i="12" s="1"/>
  <c r="C32" i="12"/>
  <c r="C46" i="12" s="1"/>
  <c r="H31" i="10"/>
  <c r="H30" i="10"/>
  <c r="H37" i="10"/>
  <c r="H39" i="10"/>
  <c r="F38" i="12"/>
  <c r="G32" i="12"/>
  <c r="G39" i="12" s="1"/>
  <c r="E32" i="12"/>
  <c r="E46" i="12" s="1"/>
  <c r="E39" i="12" l="1"/>
  <c r="C39" i="12"/>
  <c r="G46" i="12"/>
  <c r="G58" i="12" s="1"/>
  <c r="F32" i="12"/>
  <c r="F39" i="12" s="1"/>
  <c r="E53" i="12"/>
  <c r="C53" i="12"/>
  <c r="G53" i="12"/>
  <c r="G63" i="12" s="1"/>
  <c r="H32" i="10"/>
  <c r="H34" i="10" s="1"/>
  <c r="H38" i="10"/>
  <c r="D39" i="12"/>
  <c r="D46" i="12"/>
  <c r="G61" i="12" l="1"/>
  <c r="G62" i="12"/>
  <c r="G64" i="12"/>
  <c r="H12" i="10"/>
  <c r="H13" i="10" s="1"/>
  <c r="G60" i="12"/>
  <c r="G59" i="12"/>
  <c r="C62" i="12"/>
  <c r="C60" i="12"/>
  <c r="C58" i="12"/>
  <c r="C59" i="12"/>
  <c r="C63" i="12"/>
  <c r="C64" i="12"/>
  <c r="C61" i="12"/>
  <c r="F53" i="12"/>
  <c r="F46" i="12"/>
  <c r="F58" i="12" s="1"/>
  <c r="D59" i="12"/>
  <c r="D62" i="12"/>
  <c r="D58" i="12"/>
  <c r="D60" i="12"/>
  <c r="D63" i="12"/>
  <c r="D64" i="12"/>
  <c r="D61" i="12"/>
  <c r="E61" i="12"/>
  <c r="E59" i="12"/>
  <c r="E62" i="12"/>
  <c r="E60" i="12"/>
  <c r="E64" i="12"/>
  <c r="E58" i="12"/>
  <c r="E63" i="12"/>
  <c r="I10" i="10" l="1"/>
  <c r="H17" i="10"/>
  <c r="H18" i="10"/>
  <c r="F59" i="12"/>
  <c r="F63" i="12"/>
  <c r="F61" i="12"/>
  <c r="F64" i="12"/>
  <c r="F62" i="12"/>
  <c r="F60" i="12"/>
  <c r="H19" i="10" l="1"/>
  <c r="I22" i="10"/>
  <c r="I25" i="10" s="1"/>
  <c r="I31" i="10" l="1"/>
  <c r="I39" i="10"/>
  <c r="I30" i="10"/>
  <c r="I37" i="10"/>
  <c r="C6" i="13"/>
  <c r="H36" i="10"/>
  <c r="C7" i="13" s="1"/>
  <c r="I38" i="10" l="1"/>
  <c r="I32" i="10"/>
  <c r="I34" i="10" s="1"/>
  <c r="I12" i="10" l="1"/>
  <c r="I13" i="10" s="1"/>
  <c r="J10" i="10" l="1"/>
  <c r="I17" i="10"/>
  <c r="I18" i="10"/>
  <c r="I19" i="10" l="1"/>
  <c r="J22" i="10"/>
  <c r="J25" i="10" s="1"/>
  <c r="J31" i="10" l="1"/>
  <c r="J39" i="10"/>
  <c r="J30" i="10"/>
  <c r="J37" i="10"/>
  <c r="D6" i="13"/>
  <c r="I36" i="10"/>
  <c r="D7" i="13" s="1"/>
  <c r="C10" i="12"/>
  <c r="B25" i="11"/>
  <c r="C13" i="12"/>
  <c r="C7" i="12"/>
  <c r="C12" i="12"/>
  <c r="C11" i="12"/>
  <c r="C9" i="12"/>
  <c r="C8" i="12"/>
  <c r="B26" i="11" l="1"/>
  <c r="B27" i="11"/>
  <c r="B46" i="1" s="1"/>
  <c r="J32" i="10"/>
  <c r="J34" i="10" s="1"/>
  <c r="J38" i="10"/>
  <c r="J12" i="10" l="1"/>
  <c r="J13" i="10" s="1"/>
  <c r="K10" i="10" l="1"/>
  <c r="J17" i="10"/>
  <c r="J18" i="10"/>
  <c r="J19" i="10" l="1"/>
  <c r="K22" i="10"/>
  <c r="K25" i="10" s="1"/>
  <c r="K31" i="10" l="1"/>
  <c r="K37" i="10"/>
  <c r="K39" i="10"/>
  <c r="K30" i="10"/>
  <c r="E6" i="13"/>
  <c r="J36" i="10"/>
  <c r="E7" i="13" s="1"/>
  <c r="D7" i="12"/>
  <c r="D12" i="12"/>
  <c r="D10" i="12"/>
  <c r="D11" i="12"/>
  <c r="D13" i="12"/>
  <c r="C25" i="11"/>
  <c r="D9" i="12"/>
  <c r="D8" i="12"/>
  <c r="K38" i="10" l="1"/>
  <c r="K32" i="10"/>
  <c r="K34" i="10" s="1"/>
  <c r="C27" i="11"/>
  <c r="C46" i="1" s="1"/>
  <c r="C26" i="11"/>
  <c r="K12" i="10" l="1"/>
  <c r="K13" i="10" s="1"/>
  <c r="K17" i="10" s="1"/>
  <c r="B11" i="14" l="1"/>
  <c r="B8" i="1"/>
  <c r="K18" i="10"/>
  <c r="K19" i="10" s="1"/>
  <c r="B10" i="14" l="1"/>
  <c r="F6" i="13"/>
  <c r="K36" i="10"/>
  <c r="F7" i="13" s="1"/>
  <c r="B7" i="11"/>
  <c r="B8" i="11" s="1"/>
  <c r="B9" i="11" s="1"/>
  <c r="B18" i="11"/>
  <c r="E11" i="12"/>
  <c r="E10" i="12"/>
  <c r="D25" i="11"/>
  <c r="E9" i="12"/>
  <c r="E12" i="12"/>
  <c r="E13" i="12"/>
  <c r="E8" i="12"/>
  <c r="E7" i="12"/>
  <c r="D27" i="11" l="1"/>
  <c r="D46" i="1" s="1"/>
  <c r="D26" i="11"/>
  <c r="B11" i="11"/>
  <c r="B5" i="14"/>
  <c r="B5" i="1"/>
  <c r="B19" i="11"/>
  <c r="B14" i="13" s="1"/>
  <c r="B13" i="13"/>
  <c r="B20" i="11"/>
  <c r="A21" i="11" s="1"/>
  <c r="B4" i="1" l="1"/>
  <c r="B4" i="14"/>
</calcChain>
</file>

<file path=xl/sharedStrings.xml><?xml version="1.0" encoding="utf-8"?>
<sst xmlns="http://schemas.openxmlformats.org/spreadsheetml/2006/main" count="475" uniqueCount="419">
  <si>
    <t>ASSUMPTIONS &amp; SCENARIO SWITCH — all inputs blue</t>
  </si>
  <si>
    <t>SCENARIO SWITCH (1=Bear, 2=Base, 3=Bull)</t>
  </si>
  <si>
    <t>Scenario inputs</t>
  </si>
  <si>
    <t>Bear</t>
  </si>
  <si>
    <t>Base</t>
  </si>
  <si>
    <t>Bull</t>
  </si>
  <si>
    <t>ACTIVE</t>
  </si>
  <si>
    <t>Rare Diseases growth 2027-29</t>
  </si>
  <si>
    <t>Rare Diseases growth 2030-31</t>
  </si>
  <si>
    <t>Specialty &amp; Primary Care growth p.a.</t>
  </si>
  <si>
    <t>EBITDA margin endpoint (by 2029)</t>
  </si>
  <si>
    <t>Entry leverage (x FY25 EBITDA €991m)</t>
  </si>
  <si>
    <t>Exit EV/EBITDA multiple</t>
  </si>
  <si>
    <t>Cash sweep % of excess FCF</t>
  </si>
  <si>
    <t>BD / in-licensing spend per year 2027-31 (EUR m)</t>
  </si>
  <si>
    <t>Fixed inputs</t>
  </si>
  <si>
    <t>FY2025A EBITDA (company-adj, €m)</t>
  </si>
  <si>
    <t>FY2025A revenue (€m)</t>
  </si>
  <si>
    <t>FY2025A Rare Diseases revenue</t>
  </si>
  <si>
    <t>FY2025A SPC revenue</t>
  </si>
  <si>
    <t>Offer price €/share (ex-div)</t>
  </si>
  <si>
    <t>Shares (m)</t>
  </si>
  <si>
    <t>Equity purchase price (Max Disbursement Amount, disclosed shares x price)</t>
  </si>
  <si>
    <t>Existing net debt refinanced (close-date est., =B52)</t>
  </si>
  <si>
    <t>Advisory/other fees % of EV</t>
  </si>
  <si>
    <t>OID &amp; financing fees % of new debt</t>
  </si>
  <si>
    <t>Euribor (3M, assumed)</t>
  </si>
  <si>
    <t>TLB-EUR spread</t>
  </si>
  <si>
    <t>TLB-USD all-in rate</t>
  </si>
  <si>
    <t>Senior Secured Notes coupon</t>
  </si>
  <si>
    <t>RCF size (undrawn, €m)</t>
  </si>
  <si>
    <t>RCF commitment fee</t>
  </si>
  <si>
    <t>Maintenance capex % revenue</t>
  </si>
  <si>
    <t>D&amp;A % revenue</t>
  </si>
  <si>
    <t>Cash tax rate</t>
  </si>
  <si>
    <t>Change in NWC % of revenue change</t>
  </si>
  <si>
    <t>TLB-EUR % of total debt</t>
  </si>
  <si>
    <t>TLB-USD % of total debt</t>
  </si>
  <si>
    <t>TLB mandatory amortisation p.a.</t>
  </si>
  <si>
    <t>2026 RD growth (guidance-implied)</t>
  </si>
  <si>
    <t>2026 SPC growth (guidance-implied)</t>
  </si>
  <si>
    <t>2026 EBITDA margin (guidance)</t>
  </si>
  <si>
    <t>Hold period (years, exit end-2031)</t>
  </si>
  <si>
    <t>BD acquisition multiple (x EBITDA)</t>
  </si>
  <si>
    <t>Minimum operating cash at close (EUR m)</t>
  </si>
  <si>
    <t>ATAD interest deduction cap (% of EBITDA)</t>
  </si>
  <si>
    <t>v2: BASE now FUNDS BD (EUR 400m/yr at 9.0x, pre-sweep) per IC direction. Set F13=0 for the conservative no-BD floor.</t>
  </si>
  <si>
    <t>v2: taxes apply the ATAD 30%-of-EBITDA interest deduction cap; EUR 250m minimum cash funded at close; fees 1.25% EV.</t>
  </si>
  <si>
    <t>FY25A net debt, gross (announced-deal basis)</t>
  </si>
  <si>
    <t>(-) 2026E FCF generated pre-close</t>
  </si>
  <si>
    <t>(+) 2026E dividends paid</t>
  </si>
  <si>
    <t>Est. net debt at Q4-26 close (L-confidence)</t>
  </si>
  <si>
    <t>v3: net debt refinanced now uses close-date estimate (B52), not FY25A gross (B49). Lowers uses/equity check &amp; entry EV.</t>
  </si>
  <si>
    <t>v4 (03-Sep-2026): real financing structure per CONSOB offer document (31 Aug 2026), replacing the entry-leverage-driven TLB/SSN estimate below. See '06 Sources &amp; Uses' and '08 Debt Schedule'.</t>
  </si>
  <si>
    <t>Shares subject to the Offer (m, disclosed — excl. shares already held by bidder group)</t>
  </si>
  <si>
    <t>Equity commitment — CVC/GBL/Co-Investor (disclosed, EUR m, ~44% of Max Disbursement Amount)</t>
  </si>
  <si>
    <t>PIK Notes — max principal (disclosed, EUR m, ~15% of Max Disbursement Amount)</t>
  </si>
  <si>
    <t>Bridge Facilities — max ceiling (disclosed, EUR m = EUR3,350m fixed + EUR2,700m floating)</t>
  </si>
  <si>
    <t>Senior RCF — multi-currency revolver size (disclosed, undrawn, EUR m)</t>
  </si>
  <si>
    <t>Bridge/Senior blended rate — ESTIMATE, NOT DISCLOSED (offer doc: "EURIBOR plus a certain margin agreed", margin unstated)</t>
  </si>
  <si>
    <t>PIK Notes rate — ESTIMATE, NOT DISCLOSED (typical PIK-toggle premium over EURIBOR for staple sponsor financing)</t>
  </si>
  <si>
    <t>Max Disbursement Amount (disclosed, EUR m) = B57 x B20, should equal EUR10,182.4m</t>
  </si>
  <si>
    <t>RECORDATI (BIT: REC) — INDEPENDENT LBO, EXECUTIVE SUMMARY | v4, 03 SEP 2026 (financing structure per CONSOB offer doc)</t>
  </si>
  <si>
    <t>THE ANSWER</t>
  </si>
  <si>
    <t>Base-case IRR (5yr, 11.5x exit):</t>
  </si>
  <si>
    <t>Base-case MOIC:</t>
  </si>
  <si>
    <t>Entry: 12.6x on close-date net debt / structure per CONSOB offer doc: ~44% equity (EUR4.5bn) / ~41% Bridge-Senior / ~15% PIK Notes (live 06!B12:B22)</t>
  </si>
  <si>
    <t>Sponsor equity (model):</t>
  </si>
  <si>
    <t>Debt paydown over hold (gross):</t>
  </si>
  <si>
    <t>WHAT DRIVES THE RETURN</t>
  </si>
  <si>
    <t>1. EBITDA growth: organic RD (+14%-&gt;9%) + SPC (+2%) to ~EUR 1.46bn by 2031; BD EUR 400m/yr 2027-2030 (exit-yr spend removed; cum. EUR 1.6bn) adds ~EUR 178m acquired EBITDA at 9.0x effective -&gt; ~EUR 1.6bn total.</t>
  </si>
  <si>
    <t>2. Deleveraging: cash sweep pays down Bridge/Senior Facilities; PIK Notes accrue (non-cash) and are repaid at exit -- leverage trajectory now live in 08 Debt Schedule (v4 structure, not the old TLB estimate).</t>
  </si>
  <si>
    <t>3. Exit multiple: base 11.5x (COMPRESSION vs 12.9x entry). ~2.0-2.5pts IRR per turn. Rossini precedent: 0 expansion over 8 yrs.</t>
  </si>
  <si>
    <t>KEY ASSUMPTIONS (speed-read)</t>
  </si>
  <si>
    <t>RD growth y1-3 / y4-5</t>
  </si>
  <si>
    <t>SPC growth</t>
  </si>
  <si>
    <t>Margin path 36.5% →</t>
  </si>
  <si>
    <t>Leverage (total debt / FY25A EBITDA, per disclosed structure)</t>
  </si>
  <si>
    <t>Exit multiple</t>
  </si>
  <si>
    <t>Bridge/Senior rate ~5.85%, PIK ~8.6% (both ESTIMATES -- offer doc does not disclose margins); tax 24%; maint. capex 1.75% rev</t>
  </si>
  <si>
    <t>RECOMMENDED ACTION</t>
  </si>
  <si>
    <t>PARTICIPATE selectively (co-invest): V3 base ~15% IRR / ~2.0x MOIC (live 00!B4:B5). No-BD conservative floor ~15% (F13=0) — funding BD is</t>
  </si>
  <si>
    <t>roughly IRR-NEUTRAL: the 9x-in / 11.5x-out arbitrage is almost exactly offset by interest drag on un-swept cash + forfeited deleveraging. The</t>
  </si>
  <si>
    <t>sponsor-consistent ~18% case is exit-multiple MAINTENANCE (entry-flat 12.9x = +2.9pt), NOT BD arbitrage. Bull (BD+12.9x+6.0x lev) ~24%/3.0x. Clears a co-invest bar, not a 20% standalone hurdle.</t>
  </si>
  <si>
    <t>KEY RISKS (ranked)</t>
  </si>
  <si>
    <t>1. Exit multiple compression toward Ipsen 8.4x: at 10x exit, IRR falls to single digits — dominant risk.</t>
  </si>
  <si>
    <t>2. Isturisa vs Corcept relacorilant: RD growth engine concentration (~35-40% of RD est.).</t>
  </si>
  <si>
    <t>3. FY26 margin guide-down proves structural (not investment/FX): EBITDA base erodes.</t>
  </si>
  <si>
    <t>4. US policy (IRA/tariffs) on the RD growth market; SPC decay acceleration (Turkey/Russia).</t>
  </si>
  <si>
    <t>5. Seller = best-informed party (CVC VII → IX continuation): adverse-selection discount warranted.</t>
  </si>
  <si>
    <t>HOW TO USE: scenario switch '03 Assumptions'!B3; BLUE=input, BLACK=formula, GREEN=link, RED=check; yellow=key levers.</t>
  </si>
  <si>
    <t>GLOSSARY</t>
  </si>
  <si>
    <t>IRR / MOIC</t>
  </si>
  <si>
    <t>Internal rate of return / Multiple of invested capital (exit equity ÷ entry equity)</t>
  </si>
  <si>
    <t>Bridge/Senior / PIK / RCF</t>
  </si>
  <si>
    <t>Bridge &amp; Senior Facilities (cash-pay, sweepable) / PIK Notes (accrue, non-cash, paid at exit) / Revolving Credit Facility -- see 06 Sources &amp; Uses for the disclosed CONSOB split</t>
  </si>
  <si>
    <t>Cash sweep</t>
  </si>
  <si>
    <t>Excess FCF mandatorily prepays the Bridge/Senior Facilities; PIK Notes are not swept</t>
  </si>
  <si>
    <t>OID</t>
  </si>
  <si>
    <t>Original issue discount — financing fee reducing net debt proceeds, capitalised</t>
  </si>
  <si>
    <t>DSCR / Coverage</t>
  </si>
  <si>
    <t>Debt service coverage ratio / EBITDA ÷ cash interest — financeability tests</t>
  </si>
  <si>
    <t>S&amp;U</t>
  </si>
  <si>
    <t>Sources &amp; Uses — where the money comes from and goes at close</t>
  </si>
  <si>
    <t>2029</t>
  </si>
  <si>
    <t>2030</t>
  </si>
  <si>
    <t>2031</t>
  </si>
  <si>
    <t>IRR by exit year (live):</t>
  </si>
  <si>
    <t>RECORDATI S.p.A. (BIT: REC) — INDEPENDENT LBO MODEL</t>
  </si>
  <si>
    <t>Investment question: could an outside investor independently justify the €10.7bn take-private by CVC Fund IX &amp; GBL?</t>
  </si>
  <si>
    <t>Built BLIND to the sponsors' model, then compared against the actual announced transaction (see 13 Dashboard).</t>
  </si>
  <si>
    <t>Prepared 17-Jul-2026 | Analyst: Tanmay Gambhir | €m | Entry: close 31-Dec-26 | Exit: 31-Dec-31 (base)</t>
  </si>
  <si>
    <t>Color code: BLUE input | BLACK formula | GREEN cross-sheet | RED check. Yellow = primary levers.</t>
  </si>
  <si>
    <t>Scenario switch: '03 Assumptions'!B3 (1=Bear, 2=Base, 3=Bull).</t>
  </si>
  <si>
    <t>00 Executive Summary — answer first</t>
  </si>
  <si>
    <t>02 Sources</t>
  </si>
  <si>
    <t>03 Assumptions</t>
  </si>
  <si>
    <t>04 Historical Financials</t>
  </si>
  <si>
    <t>05 Transaction Overview</t>
  </si>
  <si>
    <t>06 Sources &amp; Uses</t>
  </si>
  <si>
    <t>07 Purchase Price</t>
  </si>
  <si>
    <t>08 Debt Schedule (sweep mechanics)</t>
  </si>
  <si>
    <t>09 Operating Model (RD/SPC split)</t>
  </si>
  <si>
    <t>10 Returns (IRR, MOIC, bridges)</t>
  </si>
  <si>
    <t>11 Sensitivities</t>
  </si>
  <si>
    <t>12 Charts</t>
  </si>
  <si>
    <t>13 Dashboard + actual-deal comparison</t>
  </si>
  <si>
    <t>SOURCE REGISTER</t>
  </si>
  <si>
    <t>Item</t>
  </si>
  <si>
    <t>Value</t>
  </si>
  <si>
    <t>Conf.</t>
  </si>
  <si>
    <t>Source / date</t>
  </si>
  <si>
    <t>Offer terms</t>
  </si>
  <si>
    <t>€51.29 ex-div (€52.00 cum); 209,125,156 sh; €10,726.0m</t>
  </si>
  <si>
    <t>H</t>
  </si>
  <si>
    <t>Offeror PR (CVC IX &amp; GBL via Respighi BidCo), 22-May-2026</t>
  </si>
  <si>
    <t>Premium</t>
  </si>
  <si>
    <t>12.89% vs undisturbed 25-Mar-26</t>
  </si>
  <si>
    <t>Offeror PR</t>
  </si>
  <si>
    <t>FY25 revenue / EBITDA / net debt</t>
  </si>
  <si>
    <t>2,618.4 / 991.1 / 2,037.3</t>
  </si>
  <si>
    <t>Recordati FY25 PR 17-Feb-26; accounts approved 19-Mar-26</t>
  </si>
  <si>
    <t>FY26 guidance</t>
  </si>
  <si>
    <t>Rev 2,730-2,800; EBITDA 995-1,030 (36.5%)</t>
  </si>
  <si>
    <t>FY25 PR</t>
  </si>
  <si>
    <t>Segment FY25</t>
  </si>
  <si>
    <t>RD 1,081.4 (+29.7%); SPC ~1,537 derived</t>
  </si>
  <si>
    <t>H/M</t>
  </si>
  <si>
    <t>FY25 PR / derived</t>
  </si>
  <si>
    <t>Historicals 2021-25</t>
  </si>
  <si>
    <t>see 04</t>
  </si>
  <si>
    <t>stockanalysis.com (Fiscal.ai), May-26; EBITDA definition note on 04</t>
  </si>
  <si>
    <t>Debt package (actual deal)</t>
  </si>
  <si>
    <t>~€5.5-6.0bn sought; up to €8bn pitched</t>
  </si>
  <si>
    <t>M</t>
  </si>
  <si>
    <t>Bloomberg 17-Apr-26</t>
  </si>
  <si>
    <t>Debt pricing assumptions</t>
  </si>
  <si>
    <t>TLB E+375; USD 7.25%; SSN 6.75%; OID 2.5%</t>
  </si>
  <si>
    <t>L/M</t>
  </si>
  <si>
    <t>Market convention; Euribor 2.1% assumed (refresh at close)</t>
  </si>
  <si>
    <t>Rossini 2018 entry</t>
  </si>
  <si>
    <t>€28.00/sh; 12.9x 2017 EBITDA; €3.03bn for 51.8%</t>
  </si>
  <si>
    <t>Unquote/CVC PR 2018</t>
  </si>
  <si>
    <t>Isturisa peak sales</t>
  </si>
  <si>
    <t>&gt;€1.2bn (doubled Nov-25)</t>
  </si>
  <si>
    <t>Recordati 9M-25 PR 11-Nov-25</t>
  </si>
  <si>
    <t>Maintenance capex / tax</t>
  </si>
  <si>
    <t>1.5-2.0% rev / 24%</t>
  </si>
  <si>
    <t>Fiscal.ai 2021-25: capex 22-39m, ETR 20.7-23.9%</t>
  </si>
  <si>
    <t>Structure &amp; scenario paths</t>
  </si>
  <si>
    <t>Analyst judgment; see project Assumptions Register</t>
  </si>
  <si>
    <t>Page citations: offer terms — Offeror PR pp.1-2; FY25 figures — FY25 PR headline table; segments — FY25/Q1-25 PRs.</t>
  </si>
  <si>
    <t>No annotated screenshots (environment limitation); citations are table-level and PDFs are linked in the project Bibliography.</t>
  </si>
  <si>
    <t>HISTORICAL FINANCIALS 2021-2025</t>
  </si>
  <si>
    <t>€m</t>
  </si>
  <si>
    <t>2021</t>
  </si>
  <si>
    <t>2022</t>
  </si>
  <si>
    <t>2023</t>
  </si>
  <si>
    <t>2024</t>
  </si>
  <si>
    <t>2025</t>
  </si>
  <si>
    <t>Revenue</t>
  </si>
  <si>
    <t>Company-adj. EBITDA</t>
  </si>
  <si>
    <t>R&amp;D expense</t>
  </si>
  <si>
    <t>Operating cash flow</t>
  </si>
  <si>
    <t>PP&amp;E capex</t>
  </si>
  <si>
    <t>FCF (OCF - capex)</t>
  </si>
  <si>
    <t>Intangibles purchased (BD/in-licensing)</t>
  </si>
  <si>
    <t>DPS (€)</t>
  </si>
  <si>
    <t>Effective tax rate</t>
  </si>
  <si>
    <t>Net debt (year-end)</t>
  </si>
  <si>
    <t>EBITDA margin</t>
  </si>
  <si>
    <t>Revenue growth</t>
  </si>
  <si>
    <t>FCF / EBITDA conversion</t>
  </si>
  <si>
    <t>NOTE: 2021-24 EBITDA shown uses company-adjusted definition where available; aggregator-standardised EBITDA differs</t>
  </si>
  <si>
    <t>(2025: 877 standardised vs 991 company-adj). Deal math throughout uses the COMPANY-ADJUSTED figure (offer-consistent).</t>
  </si>
  <si>
    <t>Growth engine runs through the intangibles line (Enjaymo €815m in 2024) — base case deliberately excludes BD spend.</t>
  </si>
  <si>
    <t>TRANSACTION OVERVIEW — CVC IX &amp; GBL / RESPIGHI BIDCO</t>
  </si>
  <si>
    <t>Announcement</t>
  </si>
  <si>
    <t>22 May 2026 (non-binding interest 25-Mar-26)</t>
  </si>
  <si>
    <t>Structure</t>
  </si>
  <si>
    <t>Voluntary totalitarian cash tender offer; delisting from Euronext Milan</t>
  </si>
  <si>
    <t>Offer price</t>
  </si>
  <si>
    <t>€51.29 ex-div (€52.00 cum 2025 final dividend €0.71)</t>
  </si>
  <si>
    <t>12.89% vs undisturbed 25-Mar-26 (low: Rossini 46.82% pre-committed)</t>
  </si>
  <si>
    <t>Rossini</t>
  </si>
  <si>
    <t>CVC VII vehicle, 46.82%, irrevocably tendering — effectively CVC VII → CVC IX continuation</t>
  </si>
  <si>
    <t>Co-investors</t>
  </si>
  <si>
    <t>GBL (≤~€1.3bn), ADIA/Luxinva, CPPIB, PSP, StepStone, AlpInvest, MGG, CapSol, A. Recordati rollover</t>
  </si>
  <si>
    <t>Financing</t>
  </si>
  <si>
    <t>Fully committed; ~€5.5-6.0bn debt sought (Mediobanca, GS, Jefferies, JPM, DB)</t>
  </si>
  <si>
    <t>Conditions</t>
  </si>
  <si>
    <t>≥66.67% acceptance; antitrust/FDI/FSR</t>
  </si>
  <si>
    <t>Timeline</t>
  </si>
  <si>
    <t>Closing expected Q4 2026; squeeze-out/merger thereafter</t>
  </si>
  <si>
    <t>Rationale (offeror)</t>
  </si>
  <si>
    <t>Private ownership for higher-risk BD/R&amp;D phase without public-market earnings scrutiny</t>
  </si>
  <si>
    <t>THIS MODEL: an INDEPENDENT underwrite at the same price — sponsor economics tested blind, then reconciled (13 Dashboard).</t>
  </si>
  <si>
    <t>Why the market traded at EUR 46 undisturbed: FY26 margin guide-down (37.8%-&gt;36.5%), FX headwind ~-3.5%, US policy</t>
  </si>
  <si>
    <t>overhang and Isturisa competitive risk - i.e. the public market partially priced the risks our bear case models. The low</t>
  </si>
  <si>
    <t>12.89% premium cleared because Rossini (46.82%) pre-committed; minorities had no effective blocking position.</t>
  </si>
  <si>
    <t>SOURCES &amp; USES (at close, 31-Dec-2026) — v4: real disclosed structure (CONSOB offer doc, 31 Aug 2026)</t>
  </si>
  <si>
    <t>USES (€m)</t>
  </si>
  <si>
    <t>Equity purchase price</t>
  </si>
  <si>
    <t>Refinance existing net debt</t>
  </si>
  <si>
    <t>Advisory &amp; other fees (1.25% of EV, = 03!B24)</t>
  </si>
  <si>
    <t>OID &amp; financing fees (2.5% of new debt = B9-B18, closed form -- see B9 note)</t>
  </si>
  <si>
    <t>Minimum operating cash to balance sheet</t>
  </si>
  <si>
    <t>TOTAL USES (closed form: solves the OID circularity below algebraically)</t>
  </si>
  <si>
    <t>SOURCES (EUR m)</t>
  </si>
  <si>
    <t>Total new debt = PIK Notes + Bridge/Senior Facilities (disclosed structure)</t>
  </si>
  <si>
    <t xml:space="preserve">  Total debt (EUR m) = Total Uses − Equity</t>
  </si>
  <si>
    <t xml:space="preserve">  PIK Notes (disclosed max, EUR1,530m — accrues, paid at exit; see 08 Debt Schedule)</t>
  </si>
  <si>
    <t xml:space="preserve">  Bridge/Senior Facilities (= Total debt − PIK; check against EUR6,050m ceiling in row 24)</t>
  </si>
  <si>
    <t xml:space="preserve">  (unused — real structure has two debt tranches, not three; kept as 0 so downstream refs are unaffected)</t>
  </si>
  <si>
    <t>Senior RCF EUR 1,000m — undrawn at close</t>
  </si>
  <si>
    <t>Sponsor equity — CVC/GBL/Co-Investor (disclosed commitment, fixed, not a plug)</t>
  </si>
  <si>
    <t>TOTAL SOURCES</t>
  </si>
  <si>
    <t>Equity % of capitalisation</t>
  </si>
  <si>
    <t>The fixed-rate (EUR3,350m) / floating-rate (EUR2,700m) Bridge Facility split is not separately modeled here; B15 is the blended balancing amount. USD rare-disease revenue hedge dynamics from the prior estimate no longer apply — the real facilities are EUR-denominated per the offer document.</t>
  </si>
  <si>
    <t>Interest rate margins are NOT disclosed in the offer document ("EURIBOR plus a certain margin agreed" — undisclosed for Bridge, Senior AND PIK). Rates in the debt schedule are labeled estimates, not sourced figures.</t>
  </si>
  <si>
    <t>PURCHASE PRICE &amp; ENTRY MULTIPLES</t>
  </si>
  <si>
    <t>Offer price (€/share, ex-div)</t>
  </si>
  <si>
    <t>Shares outstanding (m)</t>
  </si>
  <si>
    <t>Equity purchase price (€m)</t>
  </si>
  <si>
    <t>(+) Existing net debt refinanced</t>
  </si>
  <si>
    <t>Enterprise value (€m)</t>
  </si>
  <si>
    <t>EV / FY2025A EBITDA (close-date net debt, independent)</t>
  </si>
  <si>
    <t>EV / FY2026E EBITDA (model)</t>
  </si>
  <si>
    <t>Cum-dividend price (€52.00) vs undisturbed €46.06</t>
  </si>
  <si>
    <t>STRESS: EV / standardised (aggregator) EBITDA EUR 877m</t>
  </si>
  <si>
    <t>Reference: Rossini/CVC VII entered 2018 at €28.00/sh = 12.9x 2017 EBITDA — identical multiple, zero expansion over 8 years.</t>
  </si>
  <si>
    <t>Ref: EV/EBITDA on FY25A gross ND EUR 2,037m (announced-deal basis)</t>
  </si>
  <si>
    <t>OPERATING MODEL - RD / SPC SPLIT (organic; row 17-18 add BD-acquired EBITDA)</t>
  </si>
  <si>
    <t>2026E</t>
  </si>
  <si>
    <t>2027</t>
  </si>
  <si>
    <t>2028</t>
  </si>
  <si>
    <t>Year of hold (t)</t>
  </si>
  <si>
    <t>Rare Diseases revenue</t>
  </si>
  <si>
    <t>SPC revenue</t>
  </si>
  <si>
    <t>Total revenue</t>
  </si>
  <si>
    <t>EBITDA</t>
  </si>
  <si>
    <t>D&amp;A</t>
  </si>
  <si>
    <t>EBIT</t>
  </si>
  <si>
    <t>Maintenance capex</t>
  </si>
  <si>
    <t>Change in NWC (cash out)</t>
  </si>
  <si>
    <t>RD % of revenue</t>
  </si>
  <si>
    <t>EBITDA growth</t>
  </si>
  <si>
    <t>Acquired EBITDA from BD (cumulative; spend/9.0x, contributes from year after spend)</t>
  </si>
  <si>
    <t>TOTAL EBITDA (organic + acquired)</t>
  </si>
  <si>
    <t>DEBT SCHEDULE — v4: PIK Notes (accrue, non-cash) + Bridge/Senior Facilities (100% cash sweep)</t>
  </si>
  <si>
    <t>PIK Notes beginning</t>
  </si>
  <si>
    <t xml:space="preserve">  PIK accrued interest (paid-in-kind, added to principal, non-cash)</t>
  </si>
  <si>
    <t xml:space="preserve">  cash sweep (PIK is not prepayable via sweep — junior/accretes to maturity)</t>
  </si>
  <si>
    <t>PIK Notes ending</t>
  </si>
  <si>
    <t>Bridge/Senior Facilities beginning</t>
  </si>
  <si>
    <t xml:space="preserve">  mandatory amort (not disclosed in offer doc -- assumed 0; deleveraging is via cash sweep only)</t>
  </si>
  <si>
    <t xml:space="preserve">  cash sweep</t>
  </si>
  <si>
    <t>Bridge/Senior Facilities ending</t>
  </si>
  <si>
    <t>(unused — real structure has two debt tranches, not three)</t>
  </si>
  <si>
    <t>Total debt ending</t>
  </si>
  <si>
    <t>Excess cash (accumulates once TLBs repaid)</t>
  </si>
  <si>
    <t>NET DEBT ending</t>
  </si>
  <si>
    <t>Interest: PIK Notes (non-cash accrual — see row 6; excluded from cash interest)</t>
  </si>
  <si>
    <t>Interest: Bridge/Senior Facilities (cash-pay, EURIBOR + estimated margin — NOT DISCLOSED, see 03 Assumptions B62)</t>
  </si>
  <si>
    <t>Total cash interest</t>
  </si>
  <si>
    <t>(-) BD / in-licensing spend (funded pre-sweep)</t>
  </si>
  <si>
    <t>(-) Maintenance capex</t>
  </si>
  <si>
    <t>(-) Change in NWC</t>
  </si>
  <si>
    <t>(-) Cash taxes (24% of max(0, EBITDA - D&amp;A - interest))</t>
  </si>
  <si>
    <t>(-) Cash interest &amp; fees</t>
  </si>
  <si>
    <t>FCF before debt service</t>
  </si>
  <si>
    <t>(-) Mandatory amortisation (Bridge/Senior only — PIK accrual is non-cash, excluded)</t>
  </si>
  <si>
    <t>FCF available for sweep</t>
  </si>
  <si>
    <t>Leverage: net debt / EBITDA</t>
  </si>
  <si>
    <t>Interest coverage: EBITDA / cash interest</t>
  </si>
  <si>
    <t>DSCR: (EBITDA-capex-tax)/(interest+amort)</t>
  </si>
  <si>
    <t>Total interest coverage (incl. PIK accrual, non-cash): EBITDA / (cash interest + PIK accrual)</t>
  </si>
  <si>
    <t>Sweep order: Bridge/Senior Facilities, 100% cash sweep. PIK Notes accrue non-cash (paid in kind) and are not swept -- outstanding balance grows and is repaid at exit/maturity, per the offer document (8yr maturity, EURIBOR+margin, margin undisclosed).</t>
  </si>
  <si>
    <t>v2: BD spend deducted pre-sweep; taxes apply ATAD 30%-of-EBITDA interest deductibility cap (carryforward ignored - conservative).</t>
  </si>
  <si>
    <t>v4 (03-Sep-2026): structure rebuilt from the CONSOB offer document (31 Aug 2026) -- see 03 Assumptions rows 56-64 and 06 Sources &amp; Uses. Bridge/Senior and PIK rates are labeled estimates; the offer document does not disclose margins.</t>
  </si>
  <si>
    <t>RETURNS — IRR / MOIC + BRIDGES</t>
  </si>
  <si>
    <t>Entry equity (from S&amp;U)</t>
  </si>
  <si>
    <t>Exit year EBITDA (2031, incl. BD)</t>
  </si>
  <si>
    <t>Exit multiple (scenario)</t>
  </si>
  <si>
    <t>Exit enterprise value</t>
  </si>
  <si>
    <t>(-) Net debt at exit</t>
  </si>
  <si>
    <t>Exit equity value</t>
  </si>
  <si>
    <t>MOIC</t>
  </si>
  <si>
    <t>Hold (years)</t>
  </si>
  <si>
    <t>IRR (single exit flow)</t>
  </si>
  <si>
    <t>MOIC BRIDGE (multiples of entry equity)</t>
  </si>
  <si>
    <t>Entry equity (1.00x)</t>
  </si>
  <si>
    <t>(+) EBITDA growth at entry multiple</t>
  </si>
  <si>
    <t>(+) Multiple expansion/(compression)</t>
  </si>
  <si>
    <t>(+) Deleveraging (net debt entry - exit)</t>
  </si>
  <si>
    <t>(-) Fees &amp; frictions (residual)</t>
  </si>
  <si>
    <t>MOIC (check)</t>
  </si>
  <si>
    <t>IRR / MOIC BY EXIT YEAR (live)</t>
  </si>
  <si>
    <t>Exit year</t>
  </si>
  <si>
    <t>Exit equity (mult x EBITDA - net debt)</t>
  </si>
  <si>
    <t>IRR</t>
  </si>
  <si>
    <t>No interim dividends/recaps modeled (conservative). Dividend recap optionality would raise IRR, not MOIC.</t>
  </si>
  <si>
    <t>RECAP OPTIONALITY: Sponsor-consistent case includes a dividend recap to ~4.0x leverage when headroom allows (~Yr4/5), adding ~1.0pt IRR.</t>
  </si>
  <si>
    <t>Modeled here as conservative 100% sweep to ~1.0x exit leverage. Extending the hold to 7 years requires modeling this recap AND interest income on excess cash first.</t>
  </si>
  <si>
    <t>SENSITIVITIES - EXACT full-recursion engines (no approximations)</t>
  </si>
  <si>
    <t>All grids run a complete 3-tranche debt recursion (interest, ATAD tax cap, BD spend, mandatory amort, sequential sweep,</t>
  </si>
  <si>
    <t>excess cash) per case. Engine A scales operating items with EBITDA (axis definition); Engine B uses the live EBITDA path.</t>
  </si>
  <si>
    <t>GRID 1 - Exit multiple (rows) x exit year (cols) - IRR, fully live</t>
  </si>
  <si>
    <t>ENGINE A - total-EBITDA CAGR cases (cols C-G). Full recursion below; results in GRID 2.</t>
  </si>
  <si>
    <t>EBITDA CAGR 2026-31</t>
  </si>
  <si>
    <t>EBITDA year 2027</t>
  </si>
  <si>
    <t>EBITDA year 2028</t>
  </si>
  <si>
    <t>EBITDA year 2029</t>
  </si>
  <si>
    <t>EBITDA year 2030</t>
  </si>
  <si>
    <t>EBITDA year 2031</t>
  </si>
  <si>
    <t>FCF pre-amort 2027</t>
  </si>
  <si>
    <t>FCF pre-amort 2028</t>
  </si>
  <si>
    <t>FCF pre-amort 2029</t>
  </si>
  <si>
    <t>FCF pre-amort 2030</t>
  </si>
  <si>
    <t>FCF pre-amort 2031</t>
  </si>
  <si>
    <t>TLB-EUR end 2027</t>
  </si>
  <si>
    <t>TLB-EUR end 2028</t>
  </si>
  <si>
    <t>TLB-EUR end 2029</t>
  </si>
  <si>
    <t>TLB-EUR end 2030</t>
  </si>
  <si>
    <t>TLB-EUR end 2031</t>
  </si>
  <si>
    <t>TLB-USD end 2027</t>
  </si>
  <si>
    <t>TLB-USD end 2028</t>
  </si>
  <si>
    <t>TLB-USD end 2029</t>
  </si>
  <si>
    <t>TLB-USD end 2030</t>
  </si>
  <si>
    <t>TLB-USD end 2031</t>
  </si>
  <si>
    <t>Excess cash end 2027</t>
  </si>
  <si>
    <t>Excess cash end 2028</t>
  </si>
  <si>
    <t>Excess cash end 2029</t>
  </si>
  <si>
    <t>Excess cash end 2030</t>
  </si>
  <si>
    <t>Excess cash end 2031</t>
  </si>
  <si>
    <t>GRID 2 - Exit multiple (rows) x EBITDA CAGR (cols) - IRR at 2031 exit, EXACT</t>
  </si>
  <si>
    <t>ENGINE B - entry-leverage cases (cols C-E: 5.0x / 5.5x / 6.0x). Results in GRID 3.</t>
  </si>
  <si>
    <t>Entry leverage</t>
  </si>
  <si>
    <t>Total debt</t>
  </si>
  <si>
    <t>Sponsor equity</t>
  </si>
  <si>
    <t>GRID 3 - Entry leverage (rows) x exit multiple (cols) - IRR at 2031 exit, EXACT</t>
  </si>
  <si>
    <t>Engine B equity = base uses ex-OID + 2.5% OID on case debt - case debt. Advisory fee (1.25% EV) is debt-independent.</t>
  </si>
  <si>
    <t>CHARTS</t>
  </si>
  <si>
    <t>Chart data (live)</t>
  </si>
  <si>
    <t>Year</t>
  </si>
  <si>
    <t>Net debt</t>
  </si>
  <si>
    <t>Leverage</t>
  </si>
  <si>
    <t>MOIC bridge data</t>
  </si>
  <si>
    <t>Entry</t>
  </si>
  <si>
    <t>Multiple</t>
  </si>
  <si>
    <t>Deleveraging</t>
  </si>
  <si>
    <t>Fees/resid</t>
  </si>
  <si>
    <t>DASHBOARD + COMPARISON vs ACTUAL TRANSACTION</t>
  </si>
  <si>
    <t>KEY OUTPUTS (active scenario)</t>
  </si>
  <si>
    <t>IRR (5-yr, 2031 exit)</t>
  </si>
  <si>
    <t>Entry EV / FY25A EBITDA</t>
  </si>
  <si>
    <t>Sponsor equity (€m)</t>
  </si>
  <si>
    <t>Total debt (€m)</t>
  </si>
  <si>
    <t>Net debt at exit (€m)</t>
  </si>
  <si>
    <t>Debt paydown over hold (EUR m)</t>
  </si>
  <si>
    <t>Exit EBITDA (EUR m, incl. BD)</t>
  </si>
  <si>
    <t>Year-1 interest coverage</t>
  </si>
  <si>
    <t>INDEPENDENT MODEL vs ACTUAL ANNOUNCED DEAL</t>
  </si>
  <si>
    <t>Metric</t>
  </si>
  <si>
    <t>Our base</t>
  </si>
  <si>
    <t>Actual deal</t>
  </si>
  <si>
    <t>Comment</t>
  </si>
  <si>
    <t>Entry EV/EBITDA</t>
  </si>
  <si>
    <t>12.9x</t>
  </si>
  <si>
    <t>Identical — price is a deal fact; we underwrite at it</t>
  </si>
  <si>
    <t>—</t>
  </si>
  <si>
    <t>12.89%</t>
  </si>
  <si>
    <t>Low vs Italian norms (20-30%): Rossini 46.82% pre-committed</t>
  </si>
  <si>
    <t>Debt quantum</t>
  </si>
  <si>
    <t>€5.5-6.0bn sought</t>
  </si>
  <si>
    <t>Our 5.5x = €5.45bn sits at bottom of actual range</t>
  </si>
  <si>
    <t>Blended debt cost</t>
  </si>
  <si>
    <t>~6.3%</t>
  </si>
  <si>
    <t>TBD (offer doc)</t>
  </si>
  <si>
    <t>E+375 TLB / 6.75% SSN assumptions</t>
  </si>
  <si>
    <t>Equity cheque</t>
  </si>
  <si>
    <t>~€7.5bn+ (club)</t>
  </si>
  <si>
    <t>GBL ≤€1.3bn + CVC IX + ADIA/CPPIB/PSP et al.</t>
  </si>
  <si>
    <t>Exit assumption</t>
  </si>
  <si>
    <t>11.5x (below entry)</t>
  </si>
  <si>
    <t>n/a (private)</t>
  </si>
  <si>
    <t>We refuse multiple expansion; Rossini precedent = 0 expansion</t>
  </si>
  <si>
    <t>BD/M&amp;A in base</t>
  </si>
  <si>
    <t>EUR 400m/yr @ 9.0x (funded pre-sweep)</t>
  </si>
  <si>
    <t>Core to thesis</t>
  </si>
  <si>
    <t>Their 20%+ case needs the bolt-on machine — our bull case</t>
  </si>
  <si>
    <t>WHAT MUST CHANGE FOR OUR MODEL TO CONVERGE TO CVC/GBL's ACCEPTED ECONOMICS:</t>
  </si>
  <si>
    <t>v3 BASE funds BD (EUR 400m/yr 2027-2030 at 9x; 2031 exit-year spend removed). No-BD conservative floor via F13=0.</t>
  </si>
  <si>
    <t>1. Exit at entry-flat 12.9x instead of 11.5x: ~+2.9pt IRR (the dominant lever). ~2.0-2.5pt per turn.</t>
  </si>
  <si>
    <t>2. Fund BD redeployment (€500m/yr at 8-10x): converts SPC cash into RD growth — our bull case, their base case.</t>
  </si>
  <si>
    <t>3. Accept 6.0x opening leverage (top of their range): ~+1pt IRR if coverage holds.</t>
  </si>
  <si>
    <t>4. Underwrite Isturisa to raised &gt;€1.2bn peak (we hold RD fade): adds 2-3pts EBITDA CAGR.</t>
  </si>
  <si>
    <t>BD VALUE-CREATION DECOMPOSITION (v3): no-BD floor ~15% IRR; + funding BD 400m/yr ~0 to -0.1pt (arbitrage offset by interest drag);</t>
  </si>
  <si>
    <t>+ exit at entry-flat 12.9x = +2.9pt. The exit multiple is ~100% of the sponsor-consistent case; BD is a near-wash on IRR (it grows MOIC dollars, not the rate).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</si>
</sst>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#"/>
    <numFmt numFmtId="166" formatCode="#,##0.0;\(#,##0.0\);\-"/>
    <numFmt numFmtId="167" formatCode="#,##0;\(#,##0\);\-"/>
  </numFmts>
  <fonts count="13" x14ac:knownFonts="1">
    <font>
      <sz val="11"/>
      <color theme="1"/>
      <name val="Calibri"/>
      <charset val="134"/>
      <scheme val="minor"/>
    </font>
    <font>
      <b/>
      <sz val="12"/>
      <color rgb="FFFFFFFF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i/>
      <sz val="9"/>
      <color rgb="FFCC0000"/>
      <name val="Calibri"/>
      <family val="2"/>
    </font>
    <font>
      <i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3" fillId="0" borderId="0" xfId="0" applyFont="1"/>
    <xf numFmtId="165" fontId="4" fillId="0" borderId="0" xfId="0" applyNumberFormat="1" applyFont="1"/>
    <xf numFmtId="166" fontId="4" fillId="0" borderId="0" xfId="0" applyNumberFormat="1" applyFont="1"/>
    <xf numFmtId="167" fontId="3" fillId="0" borderId="0" xfId="0" applyNumberFormat="1" applyFont="1"/>
    <xf numFmtId="0" fontId="5" fillId="0" borderId="0" xfId="0" applyFont="1"/>
    <xf numFmtId="165" fontId="5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66" fontId="3" fillId="0" borderId="0" xfId="0" applyNumberFormat="1" applyFont="1"/>
    <xf numFmtId="164" fontId="4" fillId="0" borderId="0" xfId="0" applyNumberFormat="1" applyFont="1"/>
    <xf numFmtId="166" fontId="3" fillId="0" borderId="1" xfId="0" applyNumberFormat="1" applyFont="1" applyBorder="1"/>
    <xf numFmtId="165" fontId="3" fillId="3" borderId="1" xfId="0" applyNumberFormat="1" applyFont="1" applyFill="1" applyBorder="1"/>
    <xf numFmtId="167" fontId="4" fillId="0" borderId="1" xfId="0" applyNumberFormat="1" applyFont="1" applyBorder="1"/>
    <xf numFmtId="164" fontId="3" fillId="3" borderId="1" xfId="0" applyNumberFormat="1" applyFont="1" applyFill="1" applyBorder="1"/>
    <xf numFmtId="165" fontId="3" fillId="0" borderId="0" xfId="0" applyNumberFormat="1" applyFont="1"/>
    <xf numFmtId="0" fontId="6" fillId="0" borderId="0" xfId="0" applyFont="1"/>
    <xf numFmtId="4" fontId="4" fillId="0" borderId="1" xfId="0" applyNumberFormat="1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166" fontId="3" fillId="3" borderId="1" xfId="0" applyNumberFormat="1" applyFont="1" applyFill="1" applyBorder="1"/>
    <xf numFmtId="166" fontId="5" fillId="0" borderId="1" xfId="0" applyNumberFormat="1" applyFont="1" applyBorder="1"/>
    <xf numFmtId="166" fontId="5" fillId="0" borderId="0" xfId="0" applyNumberFormat="1" applyFont="1"/>
    <xf numFmtId="4" fontId="5" fillId="0" borderId="0" xfId="0" applyNumberFormat="1" applyFont="1"/>
    <xf numFmtId="167" fontId="5" fillId="3" borderId="0" xfId="0" applyNumberFormat="1" applyFont="1" applyFill="1"/>
    <xf numFmtId="164" fontId="5" fillId="0" borderId="1" xfId="0" applyNumberFormat="1" applyFont="1" applyBorder="1"/>
    <xf numFmtId="165" fontId="5" fillId="0" borderId="1" xfId="0" applyNumberFormat="1" applyFont="1" applyBorder="1"/>
    <xf numFmtId="167" fontId="5" fillId="0" borderId="0" xfId="0" applyNumberFormat="1" applyFont="1"/>
    <xf numFmtId="0" fontId="4" fillId="0" borderId="0" xfId="0" applyFont="1"/>
    <xf numFmtId="0" fontId="7" fillId="0" borderId="0" xfId="0" applyFont="1"/>
    <xf numFmtId="164" fontId="4" fillId="3" borderId="0" xfId="0" applyNumberFormat="1" applyFont="1" applyFill="1"/>
    <xf numFmtId="165" fontId="4" fillId="3" borderId="0" xfId="0" applyNumberFormat="1" applyFont="1" applyFill="1"/>
    <xf numFmtId="0" fontId="8" fillId="4" borderId="1" xfId="0" applyFont="1" applyFill="1" applyBorder="1"/>
    <xf numFmtId="0" fontId="0" fillId="4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EBITDA margin 2021-25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EBITDA margin</c:v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'04 Historical Financials'!$B$3:$F$3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'04 Historical Financials'!$B$15:$F$15</c:f>
              <c:numCache>
                <c:formatCode>0.0%</c:formatCode>
                <c:ptCount val="5"/>
                <c:pt idx="0">
                  <c:v>0.3721518987341772</c:v>
                </c:pt>
                <c:pt idx="1">
                  <c:v>0.37344846195358877</c:v>
                </c:pt>
                <c:pt idx="2">
                  <c:v>0.36983669548511044</c:v>
                </c:pt>
                <c:pt idx="3">
                  <c:v>0.36968403074295469</c:v>
                </c:pt>
                <c:pt idx="4">
                  <c:v>0.37851359608921481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A4-9B46-8B26-824D0B3DE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EBITDA vs Net debt (€m)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EBITDA</c:v>
          </c:tx>
          <c:spPr>
            <a:ln>
              <a:noFill/>
              <a:prstDash val="solid"/>
            </a:ln>
          </c:spPr>
          <c:invertIfNegative val="0"/>
          <c:cat>
            <c:numRef>
              <c:f>'12 Charts'!$B$4:$F$4</c:f>
              <c:numCache>
                <c:formatCode>#,##0;\(#,##0\);\-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'12 Charts'!$B$5:$F$5</c:f>
              <c:numCache>
                <c:formatCode>#,##0.0;\(#,##0.0\);\-</c:formatCode>
                <c:ptCount val="5"/>
                <c:pt idx="0">
                  <c:v>1097.5795466</c:v>
                </c:pt>
                <c:pt idx="1">
                  <c:v>1239.5727309084448</c:v>
                </c:pt>
                <c:pt idx="2">
                  <c:v>1394.1020143054493</c:v>
                </c:pt>
                <c:pt idx="3">
                  <c:v>1512.9144383455841</c:v>
                </c:pt>
                <c:pt idx="4">
                  <c:v>1637.5579565154953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3-EF45-99C9-3BAA3E248DDE}"/>
            </c:ext>
          </c:extLst>
        </c:ser>
        <c:ser>
          <c:idx val="1"/>
          <c:order val="1"/>
          <c:tx>
            <c:v>Net debt</c:v>
          </c:tx>
          <c:spPr>
            <a:ln>
              <a:noFill/>
              <a:prstDash val="solid"/>
            </a:ln>
          </c:spPr>
          <c:invertIfNegative val="0"/>
          <c:cat>
            <c:numRef>
              <c:f>'12 Charts'!$B$4:$F$4</c:f>
              <c:numCache>
                <c:formatCode>#,##0;\(#,##0\);\-</c:formatCod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numCache>
            </c:numRef>
          </c:cat>
          <c:val>
            <c:numRef>
              <c:f>'12 Charts'!$B$6:$F$6</c:f>
              <c:numCache>
                <c:formatCode>#,##0.0;\(#,##0.0\);\-</c:formatCode>
                <c:ptCount val="5"/>
                <c:pt idx="0">
                  <c:v>7803.4244482391259</c:v>
                </c:pt>
                <c:pt idx="1">
                  <c:v>7722.4612673221527</c:v>
                </c:pt>
                <c:pt idx="2">
                  <c:v>7528.7915755729391</c:v>
                </c:pt>
                <c:pt idx="3">
                  <c:v>7233.4805778701648</c:v>
                </c:pt>
                <c:pt idx="4">
                  <c:v>6439.3185671929486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3-EF45-99C9-3BAA3E24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#,##0;\(#,##0\);\-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.0;\(#,##0.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MOIC bridge (x entry equity)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cat>
            <c:strRef>
              <c:f>'12 Charts'!$A$10:$A$14</c:f>
              <c:strCache>
                <c:ptCount val="5"/>
                <c:pt idx="0">
                  <c:v>Entry</c:v>
                </c:pt>
                <c:pt idx="1">
                  <c:v>EBITDA growth</c:v>
                </c:pt>
                <c:pt idx="2">
                  <c:v>Multiple</c:v>
                </c:pt>
                <c:pt idx="3">
                  <c:v>Deleveraging</c:v>
                </c:pt>
                <c:pt idx="4">
                  <c:v>Fees/resid</c:v>
                </c:pt>
              </c:strCache>
            </c:strRef>
          </c:cat>
          <c:val>
            <c:numRef>
              <c:f>'12 Charts'!$B$10:$B$14</c:f>
              <c:numCache>
                <c:formatCode>0.00#</c:formatCode>
                <c:ptCount val="5"/>
                <c:pt idx="0">
                  <c:v>1</c:v>
                </c:pt>
                <c:pt idx="1">
                  <c:v>1.7225992344386094</c:v>
                </c:pt>
                <c:pt idx="2">
                  <c:v>-0.20157845100287153</c:v>
                </c:pt>
                <c:pt idx="3">
                  <c:v>0.29517653782197123</c:v>
                </c:pt>
                <c:pt idx="4">
                  <c:v>-7.7350978702777018E-2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8-D04E-AC70-A17E084EB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0.00#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320000" cy="2817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3222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4320000" cy="3222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showGridLines="0" workbookViewId="0">
      <selection activeCell="B4" sqref="B4"/>
    </sheetView>
  </sheetViews>
  <sheetFormatPr baseColWidth="10" defaultColWidth="9" defaultRowHeight="15" x14ac:dyDescent="0.2"/>
  <cols>
    <col min="1" max="1" width="46" customWidth="1"/>
    <col min="2" max="13" width="12" customWidth="1"/>
  </cols>
  <sheetData>
    <row r="1" spans="1:14" ht="17.5" customHeight="1" x14ac:dyDescent="0.2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20.5" customHeight="1" x14ac:dyDescent="0.2">
      <c r="A3" s="36" t="s">
        <v>63</v>
      </c>
    </row>
    <row r="4" spans="1:14" x14ac:dyDescent="0.2">
      <c r="A4" s="3" t="s">
        <v>64</v>
      </c>
      <c r="B4" s="37">
        <f>'10 Returns'!B11</f>
        <v>0.22324523739252911</v>
      </c>
    </row>
    <row r="5" spans="1:14" x14ac:dyDescent="0.2">
      <c r="A5" s="3" t="s">
        <v>65</v>
      </c>
      <c r="B5" s="38">
        <f>'10 Returns'!B9</f>
        <v>2.7388463425549321</v>
      </c>
    </row>
    <row r="6" spans="1:14" x14ac:dyDescent="0.2">
      <c r="A6" s="8" t="s">
        <v>66</v>
      </c>
    </row>
    <row r="7" spans="1:14" x14ac:dyDescent="0.2">
      <c r="A7" s="8" t="s">
        <v>67</v>
      </c>
      <c r="B7" s="10">
        <f>'06 Sources &amp; Uses'!B18</f>
        <v>4524.7510750000001</v>
      </c>
    </row>
    <row r="8" spans="1:14" x14ac:dyDescent="0.2">
      <c r="A8" s="8" t="s">
        <v>68</v>
      </c>
      <c r="B8" s="10">
        <f>'06 Sources &amp; Uses'!B13-'08 Debt Schedule'!K17</f>
        <v>1335.6003568247424</v>
      </c>
    </row>
    <row r="10" spans="1:14" ht="20.5" customHeight="1" x14ac:dyDescent="0.2">
      <c r="A10" s="36" t="s">
        <v>69</v>
      </c>
    </row>
    <row r="11" spans="1:14" x14ac:dyDescent="0.2">
      <c r="A11" s="8" t="s">
        <v>70</v>
      </c>
    </row>
    <row r="12" spans="1:14" x14ac:dyDescent="0.2">
      <c r="A12" s="8" t="s">
        <v>71</v>
      </c>
    </row>
    <row r="13" spans="1:14" x14ac:dyDescent="0.2">
      <c r="A13" s="8" t="s">
        <v>72</v>
      </c>
    </row>
    <row r="15" spans="1:14" ht="20.5" customHeight="1" x14ac:dyDescent="0.2">
      <c r="A15" s="36" t="s">
        <v>73</v>
      </c>
    </row>
    <row r="16" spans="1:14" x14ac:dyDescent="0.2">
      <c r="A16" s="4" t="s">
        <v>74</v>
      </c>
      <c r="B16" s="5">
        <f>'03 Assumptions'!F6</f>
        <v>0.14000000000000001</v>
      </c>
    </row>
    <row r="17" spans="1:8" x14ac:dyDescent="0.2">
      <c r="A17" s="4" t="s">
        <v>75</v>
      </c>
      <c r="B17" s="5">
        <f>'03 Assumptions'!F8</f>
        <v>0.02</v>
      </c>
    </row>
    <row r="18" spans="1:8" x14ac:dyDescent="0.2">
      <c r="A18" s="4" t="s">
        <v>76</v>
      </c>
      <c r="B18" s="5">
        <f>'03 Assumptions'!F9</f>
        <v>0.3775</v>
      </c>
    </row>
    <row r="19" spans="1:8" x14ac:dyDescent="0.2">
      <c r="A19" s="4" t="s">
        <v>77</v>
      </c>
      <c r="B19" s="6">
        <f>'06 Sources &amp; Uses'!B13/'03 Assumptions'!B16</f>
        <v>8.0969820643907688</v>
      </c>
    </row>
    <row r="20" spans="1:8" x14ac:dyDescent="0.2">
      <c r="A20" s="4" t="s">
        <v>78</v>
      </c>
      <c r="B20" s="6">
        <f>'03 Assumptions'!F11</f>
        <v>11.5</v>
      </c>
    </row>
    <row r="21" spans="1:8" x14ac:dyDescent="0.2">
      <c r="A21" s="4" t="s">
        <v>79</v>
      </c>
    </row>
    <row r="23" spans="1:8" ht="20.5" customHeight="1" x14ac:dyDescent="0.2">
      <c r="A23" s="36" t="s">
        <v>80</v>
      </c>
    </row>
    <row r="24" spans="1:8" x14ac:dyDescent="0.2">
      <c r="A24" s="39" t="s">
        <v>81</v>
      </c>
      <c r="B24" s="40"/>
      <c r="C24" s="40"/>
      <c r="D24" s="40"/>
      <c r="E24" s="40"/>
      <c r="F24" s="40"/>
      <c r="G24" s="40"/>
      <c r="H24" s="40"/>
    </row>
    <row r="25" spans="1:8" x14ac:dyDescent="0.2">
      <c r="A25" s="8" t="s">
        <v>82</v>
      </c>
    </row>
    <row r="26" spans="1:8" x14ac:dyDescent="0.2">
      <c r="A26" s="8" t="s">
        <v>83</v>
      </c>
    </row>
    <row r="28" spans="1:8" ht="20.5" customHeight="1" x14ac:dyDescent="0.2">
      <c r="A28" s="36" t="s">
        <v>84</v>
      </c>
    </row>
    <row r="29" spans="1:8" x14ac:dyDescent="0.2">
      <c r="A29" s="8" t="s">
        <v>85</v>
      </c>
    </row>
    <row r="30" spans="1:8" x14ac:dyDescent="0.2">
      <c r="A30" s="8" t="s">
        <v>86</v>
      </c>
    </row>
    <row r="31" spans="1:8" x14ac:dyDescent="0.2">
      <c r="A31" s="8" t="s">
        <v>87</v>
      </c>
    </row>
    <row r="32" spans="1:8" x14ac:dyDescent="0.2">
      <c r="A32" s="8" t="s">
        <v>88</v>
      </c>
    </row>
    <row r="33" spans="1:4" x14ac:dyDescent="0.2">
      <c r="A33" s="8" t="s">
        <v>89</v>
      </c>
    </row>
    <row r="35" spans="1:4" x14ac:dyDescent="0.2">
      <c r="A35" s="8" t="s">
        <v>90</v>
      </c>
    </row>
    <row r="37" spans="1:4" ht="20.5" customHeight="1" x14ac:dyDescent="0.2">
      <c r="A37" s="36" t="s">
        <v>91</v>
      </c>
    </row>
    <row r="38" spans="1:4" x14ac:dyDescent="0.2">
      <c r="A38" s="3" t="s">
        <v>92</v>
      </c>
      <c r="C38" s="8" t="s">
        <v>93</v>
      </c>
    </row>
    <row r="39" spans="1:4" x14ac:dyDescent="0.2">
      <c r="A39" s="3" t="s">
        <v>94</v>
      </c>
      <c r="C39" s="8" t="s">
        <v>95</v>
      </c>
    </row>
    <row r="40" spans="1:4" x14ac:dyDescent="0.2">
      <c r="A40" s="3" t="s">
        <v>96</v>
      </c>
      <c r="C40" s="8" t="s">
        <v>97</v>
      </c>
    </row>
    <row r="41" spans="1:4" x14ac:dyDescent="0.2">
      <c r="A41" s="3" t="s">
        <v>98</v>
      </c>
      <c r="C41" s="8" t="s">
        <v>99</v>
      </c>
    </row>
    <row r="42" spans="1:4" x14ac:dyDescent="0.2">
      <c r="A42" s="3" t="s">
        <v>100</v>
      </c>
      <c r="C42" s="8" t="s">
        <v>101</v>
      </c>
    </row>
    <row r="43" spans="1:4" x14ac:dyDescent="0.2">
      <c r="A43" s="3" t="s">
        <v>102</v>
      </c>
      <c r="C43" s="8" t="s">
        <v>103</v>
      </c>
    </row>
    <row r="45" spans="1:4" x14ac:dyDescent="0.2">
      <c r="B45" s="8" t="s">
        <v>104</v>
      </c>
      <c r="C45" s="8" t="s">
        <v>105</v>
      </c>
      <c r="D45" s="8" t="s">
        <v>106</v>
      </c>
    </row>
    <row r="46" spans="1:4" x14ac:dyDescent="0.2">
      <c r="A46" s="3" t="s">
        <v>107</v>
      </c>
      <c r="B46" s="17">
        <f>'10 Returns'!B27</f>
        <v>0.23404877577466587</v>
      </c>
      <c r="C46" s="17">
        <f>'10 Returns'!C27</f>
        <v>0.22427378888695282</v>
      </c>
      <c r="D46" s="17">
        <f>'10 Returns'!D27</f>
        <v>0.22324523739252911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8" t="s">
        <v>109</v>
      </c>
    </row>
    <row r="4" spans="1:14" x14ac:dyDescent="0.2">
      <c r="A4" s="8" t="s">
        <v>110</v>
      </c>
    </row>
    <row r="6" spans="1:14" x14ac:dyDescent="0.2">
      <c r="A6" s="8" t="s">
        <v>111</v>
      </c>
    </row>
    <row r="8" spans="1:14" x14ac:dyDescent="0.2">
      <c r="A8" s="8" t="s">
        <v>112</v>
      </c>
    </row>
    <row r="9" spans="1:14" x14ac:dyDescent="0.2">
      <c r="A9" s="8" t="s">
        <v>113</v>
      </c>
    </row>
    <row r="11" spans="1:14" x14ac:dyDescent="0.2">
      <c r="A11" s="35" t="s">
        <v>114</v>
      </c>
    </row>
    <row r="12" spans="1:14" x14ac:dyDescent="0.2">
      <c r="A12" s="35" t="s">
        <v>115</v>
      </c>
    </row>
    <row r="13" spans="1:14" x14ac:dyDescent="0.2">
      <c r="A13" s="35" t="s">
        <v>116</v>
      </c>
    </row>
    <row r="14" spans="1:14" x14ac:dyDescent="0.2">
      <c r="A14" s="35" t="s">
        <v>117</v>
      </c>
    </row>
    <row r="15" spans="1:14" x14ac:dyDescent="0.2">
      <c r="A15" s="35" t="s">
        <v>118</v>
      </c>
    </row>
    <row r="16" spans="1:14" x14ac:dyDescent="0.2">
      <c r="A16" s="35" t="s">
        <v>119</v>
      </c>
    </row>
    <row r="17" spans="1:1" x14ac:dyDescent="0.2">
      <c r="A17" s="35" t="s">
        <v>120</v>
      </c>
    </row>
    <row r="18" spans="1:1" x14ac:dyDescent="0.2">
      <c r="A18" s="35" t="s">
        <v>121</v>
      </c>
    </row>
    <row r="19" spans="1:1" x14ac:dyDescent="0.2">
      <c r="A19" s="35" t="s">
        <v>122</v>
      </c>
    </row>
    <row r="20" spans="1:1" x14ac:dyDescent="0.2">
      <c r="A20" s="35" t="s">
        <v>123</v>
      </c>
    </row>
    <row r="21" spans="1:1" x14ac:dyDescent="0.2">
      <c r="A21" s="35" t="s">
        <v>124</v>
      </c>
    </row>
    <row r="22" spans="1:1" x14ac:dyDescent="0.2">
      <c r="A22" s="35" t="s">
        <v>125</v>
      </c>
    </row>
    <row r="23" spans="1:1" x14ac:dyDescent="0.2">
      <c r="A23" s="35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showGridLines="0" tabSelected="1" workbookViewId="0">
      <selection activeCell="E24" sqref="E24"/>
    </sheetView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</v>
      </c>
      <c r="B3" s="31">
        <v>2</v>
      </c>
      <c r="C3" s="23" t="str">
        <f>IF(OR(B3=1,B3=2,B3=3),"OK","ERROR: 1/2/3 only")</f>
        <v>OK</v>
      </c>
    </row>
    <row r="5" spans="1:14" x14ac:dyDescent="0.2">
      <c r="A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14" x14ac:dyDescent="0.2">
      <c r="A6" s="4" t="s">
        <v>7</v>
      </c>
      <c r="C6" s="32">
        <v>0.08</v>
      </c>
      <c r="D6" s="32">
        <v>0.14000000000000001</v>
      </c>
      <c r="E6" s="32">
        <v>0.19</v>
      </c>
      <c r="F6" s="21">
        <f t="shared" ref="F6:F13" si="0">CHOOSE($B$3,C6,D6,E6)</f>
        <v>0.14000000000000001</v>
      </c>
    </row>
    <row r="7" spans="1:14" x14ac:dyDescent="0.2">
      <c r="A7" s="4" t="s">
        <v>8</v>
      </c>
      <c r="C7" s="32">
        <v>0.05</v>
      </c>
      <c r="D7" s="32">
        <v>0.09</v>
      </c>
      <c r="E7" s="32">
        <v>0.12</v>
      </c>
      <c r="F7" s="21">
        <f t="shared" si="0"/>
        <v>0.09</v>
      </c>
    </row>
    <row r="8" spans="1:14" x14ac:dyDescent="0.2">
      <c r="A8" s="4" t="s">
        <v>9</v>
      </c>
      <c r="C8" s="32">
        <v>-0.01</v>
      </c>
      <c r="D8" s="32">
        <v>0.02</v>
      </c>
      <c r="E8" s="32">
        <v>3.5000000000000003E-2</v>
      </c>
      <c r="F8" s="21">
        <f t="shared" si="0"/>
        <v>0.02</v>
      </c>
    </row>
    <row r="9" spans="1:14" x14ac:dyDescent="0.2">
      <c r="A9" s="4" t="s">
        <v>10</v>
      </c>
      <c r="C9" s="32">
        <v>0.36</v>
      </c>
      <c r="D9" s="32">
        <v>0.3775</v>
      </c>
      <c r="E9" s="32">
        <v>0.39</v>
      </c>
      <c r="F9" s="21">
        <f t="shared" si="0"/>
        <v>0.3775</v>
      </c>
    </row>
    <row r="10" spans="1:14" x14ac:dyDescent="0.2">
      <c r="A10" s="4" t="s">
        <v>11</v>
      </c>
      <c r="C10" s="33">
        <v>5</v>
      </c>
      <c r="D10" s="33">
        <v>5.5</v>
      </c>
      <c r="E10" s="33">
        <v>6</v>
      </c>
      <c r="F10" s="19">
        <f t="shared" si="0"/>
        <v>5.5</v>
      </c>
    </row>
    <row r="11" spans="1:14" x14ac:dyDescent="0.2">
      <c r="A11" s="4" t="s">
        <v>12</v>
      </c>
      <c r="C11" s="33">
        <v>10</v>
      </c>
      <c r="D11" s="33">
        <v>11.5</v>
      </c>
      <c r="E11" s="33">
        <v>12.9</v>
      </c>
      <c r="F11" s="19">
        <f t="shared" si="0"/>
        <v>11.5</v>
      </c>
    </row>
    <row r="12" spans="1:14" x14ac:dyDescent="0.2">
      <c r="A12" s="4" t="s">
        <v>13</v>
      </c>
      <c r="C12" s="32">
        <v>1</v>
      </c>
      <c r="D12" s="32">
        <v>1</v>
      </c>
      <c r="E12" s="32">
        <v>1</v>
      </c>
      <c r="F12" s="21">
        <f t="shared" si="0"/>
        <v>1</v>
      </c>
    </row>
    <row r="13" spans="1:14" x14ac:dyDescent="0.2">
      <c r="A13" s="4" t="s">
        <v>14</v>
      </c>
      <c r="C13" s="28">
        <v>0</v>
      </c>
      <c r="D13" s="28">
        <v>400</v>
      </c>
      <c r="E13" s="28">
        <v>600</v>
      </c>
      <c r="F13" s="27">
        <f t="shared" si="0"/>
        <v>400</v>
      </c>
    </row>
    <row r="15" spans="1:14" x14ac:dyDescent="0.2">
      <c r="A15" s="3" t="s">
        <v>15</v>
      </c>
    </row>
    <row r="16" spans="1:14" x14ac:dyDescent="0.2">
      <c r="A16" s="8" t="s">
        <v>16</v>
      </c>
      <c r="B16" s="29">
        <v>991.1</v>
      </c>
    </row>
    <row r="17" spans="1:2" x14ac:dyDescent="0.2">
      <c r="A17" s="8" t="s">
        <v>17</v>
      </c>
      <c r="B17" s="29">
        <v>2618.4</v>
      </c>
    </row>
    <row r="18" spans="1:2" x14ac:dyDescent="0.2">
      <c r="A18" s="8" t="s">
        <v>18</v>
      </c>
      <c r="B18" s="29">
        <v>1081.4000000000001</v>
      </c>
    </row>
    <row r="19" spans="1:2" x14ac:dyDescent="0.2">
      <c r="A19" s="8" t="s">
        <v>19</v>
      </c>
      <c r="B19" s="29">
        <v>1537</v>
      </c>
    </row>
    <row r="20" spans="1:2" x14ac:dyDescent="0.2">
      <c r="A20" s="8" t="s">
        <v>20</v>
      </c>
      <c r="B20" s="30">
        <v>51.29</v>
      </c>
    </row>
    <row r="21" spans="1:2" x14ac:dyDescent="0.2">
      <c r="A21" s="8" t="s">
        <v>21</v>
      </c>
      <c r="B21" s="29">
        <v>209.125</v>
      </c>
    </row>
    <row r="22" spans="1:2" x14ac:dyDescent="0.2">
      <c r="A22" s="8" t="s">
        <v>22</v>
      </c>
      <c r="B22" s="29">
        <f>B57*B20</f>
        <v>10182.37607498</v>
      </c>
    </row>
    <row r="23" spans="1:2" x14ac:dyDescent="0.2">
      <c r="A23" s="8" t="s">
        <v>23</v>
      </c>
      <c r="B23" s="29">
        <f>B52</f>
        <v>1767.3</v>
      </c>
    </row>
    <row r="24" spans="1:2" x14ac:dyDescent="0.2">
      <c r="A24" s="8" t="s">
        <v>24</v>
      </c>
      <c r="B24" s="15">
        <v>1.2500000000000001E-2</v>
      </c>
    </row>
    <row r="25" spans="1:2" x14ac:dyDescent="0.2">
      <c r="A25" s="8" t="s">
        <v>25</v>
      </c>
      <c r="B25" s="15">
        <v>2.5000000000000001E-2</v>
      </c>
    </row>
    <row r="26" spans="1:2" x14ac:dyDescent="0.2">
      <c r="A26" s="8" t="s">
        <v>26</v>
      </c>
      <c r="B26" s="15">
        <v>2.1000000000000001E-2</v>
      </c>
    </row>
    <row r="27" spans="1:2" x14ac:dyDescent="0.2">
      <c r="A27" s="8" t="s">
        <v>27</v>
      </c>
      <c r="B27" s="15">
        <v>3.7499999999999999E-2</v>
      </c>
    </row>
    <row r="28" spans="1:2" x14ac:dyDescent="0.2">
      <c r="A28" s="8" t="s">
        <v>28</v>
      </c>
      <c r="B28" s="15">
        <v>7.2499999999999995E-2</v>
      </c>
    </row>
    <row r="29" spans="1:2" x14ac:dyDescent="0.2">
      <c r="A29" s="8" t="s">
        <v>29</v>
      </c>
      <c r="B29" s="15">
        <v>6.7500000000000004E-2</v>
      </c>
    </row>
    <row r="30" spans="1:2" x14ac:dyDescent="0.2">
      <c r="A30" s="8" t="s">
        <v>30</v>
      </c>
      <c r="B30" s="29">
        <v>500</v>
      </c>
    </row>
    <row r="31" spans="1:2" x14ac:dyDescent="0.2">
      <c r="A31" s="8" t="s">
        <v>31</v>
      </c>
      <c r="B31" s="15">
        <v>4.0000000000000001E-3</v>
      </c>
    </row>
    <row r="32" spans="1:2" x14ac:dyDescent="0.2">
      <c r="A32" s="8" t="s">
        <v>32</v>
      </c>
      <c r="B32" s="15">
        <v>1.7500000000000002E-2</v>
      </c>
    </row>
    <row r="33" spans="1:2" x14ac:dyDescent="0.2">
      <c r="A33" s="8" t="s">
        <v>33</v>
      </c>
      <c r="B33" s="15">
        <v>7.9000000000000001E-2</v>
      </c>
    </row>
    <row r="34" spans="1:2" x14ac:dyDescent="0.2">
      <c r="A34" s="8" t="s">
        <v>34</v>
      </c>
      <c r="B34" s="15">
        <v>0.24</v>
      </c>
    </row>
    <row r="35" spans="1:2" x14ac:dyDescent="0.2">
      <c r="A35" s="8" t="s">
        <v>35</v>
      </c>
      <c r="B35" s="15">
        <v>0.15</v>
      </c>
    </row>
    <row r="36" spans="1:2" x14ac:dyDescent="0.2">
      <c r="A36" s="8" t="s">
        <v>36</v>
      </c>
      <c r="B36" s="15">
        <v>0.55000000000000004</v>
      </c>
    </row>
    <row r="37" spans="1:2" x14ac:dyDescent="0.2">
      <c r="A37" s="8" t="s">
        <v>37</v>
      </c>
      <c r="B37" s="15">
        <v>0.18</v>
      </c>
    </row>
    <row r="38" spans="1:2" x14ac:dyDescent="0.2">
      <c r="A38" s="8" t="s">
        <v>38</v>
      </c>
      <c r="B38" s="15">
        <v>0.01</v>
      </c>
    </row>
    <row r="39" spans="1:2" x14ac:dyDescent="0.2">
      <c r="A39" s="8" t="s">
        <v>39</v>
      </c>
      <c r="B39" s="15">
        <v>0.14000000000000001</v>
      </c>
    </row>
    <row r="40" spans="1:2" x14ac:dyDescent="0.2">
      <c r="A40" s="8" t="s">
        <v>40</v>
      </c>
      <c r="B40" s="15">
        <v>0</v>
      </c>
    </row>
    <row r="41" spans="1:2" x14ac:dyDescent="0.2">
      <c r="A41" s="8" t="s">
        <v>41</v>
      </c>
      <c r="B41" s="15">
        <v>0.36499999999999999</v>
      </c>
    </row>
    <row r="42" spans="1:2" x14ac:dyDescent="0.2">
      <c r="A42" s="8" t="s">
        <v>42</v>
      </c>
      <c r="B42" s="34">
        <v>5</v>
      </c>
    </row>
    <row r="43" spans="1:2" x14ac:dyDescent="0.2">
      <c r="A43" s="8" t="s">
        <v>43</v>
      </c>
      <c r="B43" s="13">
        <v>9</v>
      </c>
    </row>
    <row r="44" spans="1:2" x14ac:dyDescent="0.2">
      <c r="A44" s="8" t="s">
        <v>44</v>
      </c>
      <c r="B44" s="29">
        <v>250</v>
      </c>
    </row>
    <row r="45" spans="1:2" x14ac:dyDescent="0.2">
      <c r="A45" s="8" t="s">
        <v>45</v>
      </c>
      <c r="B45" s="15">
        <v>0.3</v>
      </c>
    </row>
    <row r="47" spans="1:2" x14ac:dyDescent="0.2">
      <c r="A47" s="8" t="s">
        <v>46</v>
      </c>
    </row>
    <row r="48" spans="1:2" x14ac:dyDescent="0.2">
      <c r="A48" s="8" t="s">
        <v>47</v>
      </c>
    </row>
    <row r="49" spans="1:2" x14ac:dyDescent="0.2">
      <c r="A49" t="s">
        <v>48</v>
      </c>
      <c r="B49">
        <v>2037.3</v>
      </c>
    </row>
    <row r="50" spans="1:2" x14ac:dyDescent="0.2">
      <c r="A50" t="s">
        <v>49</v>
      </c>
      <c r="B50">
        <v>-550</v>
      </c>
    </row>
    <row r="51" spans="1:2" x14ac:dyDescent="0.2">
      <c r="A51" t="s">
        <v>50</v>
      </c>
      <c r="B51">
        <v>280</v>
      </c>
    </row>
    <row r="52" spans="1:2" x14ac:dyDescent="0.2">
      <c r="A52" t="s">
        <v>51</v>
      </c>
      <c r="B52">
        <f>B49+B50+B51</f>
        <v>1767.3</v>
      </c>
    </row>
    <row r="54" spans="1:2" x14ac:dyDescent="0.2">
      <c r="A54" t="s">
        <v>52</v>
      </c>
    </row>
    <row r="56" spans="1:2" x14ac:dyDescent="0.2">
      <c r="A56" s="41" t="s">
        <v>53</v>
      </c>
    </row>
    <row r="57" spans="1:2" x14ac:dyDescent="0.2">
      <c r="A57" t="s">
        <v>54</v>
      </c>
      <c r="B57" s="42">
        <v>198.52556200000001</v>
      </c>
    </row>
    <row r="58" spans="1:2" x14ac:dyDescent="0.2">
      <c r="A58" t="s">
        <v>55</v>
      </c>
      <c r="B58" s="42">
        <v>4524.7510750000001</v>
      </c>
    </row>
    <row r="59" spans="1:2" x14ac:dyDescent="0.2">
      <c r="A59" t="s">
        <v>56</v>
      </c>
      <c r="B59" s="42">
        <v>1530</v>
      </c>
    </row>
    <row r="60" spans="1:2" x14ac:dyDescent="0.2">
      <c r="A60" t="s">
        <v>57</v>
      </c>
      <c r="B60" s="42">
        <v>6050</v>
      </c>
    </row>
    <row r="61" spans="1:2" x14ac:dyDescent="0.2">
      <c r="A61" t="s">
        <v>58</v>
      </c>
      <c r="B61" s="42">
        <v>1000</v>
      </c>
    </row>
    <row r="62" spans="1:2" x14ac:dyDescent="0.2">
      <c r="A62" t="s">
        <v>59</v>
      </c>
      <c r="B62" s="43">
        <v>5.8500000000000003E-2</v>
      </c>
    </row>
    <row r="63" spans="1:2" x14ac:dyDescent="0.2">
      <c r="A63" t="s">
        <v>60</v>
      </c>
      <c r="B63" s="43">
        <v>8.5999999999999993E-2</v>
      </c>
    </row>
    <row r="64" spans="1:2" x14ac:dyDescent="0.2">
      <c r="A64" t="s">
        <v>61</v>
      </c>
      <c r="B64">
        <f>B57*B20</f>
        <v>10182.37607498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showGridLines="0" workbookViewId="0"/>
  </sheetViews>
  <sheetFormatPr baseColWidth="10" defaultColWidth="9" defaultRowHeight="15" x14ac:dyDescent="0.2"/>
  <cols>
    <col min="1" max="1" width="46" customWidth="1"/>
    <col min="2" max="3" width="12" customWidth="1"/>
    <col min="4" max="4" width="85" customWidth="1"/>
    <col min="5" max="15" width="12" customWidth="1"/>
  </cols>
  <sheetData>
    <row r="1" spans="1:14" ht="17.5" customHeight="1" x14ac:dyDescent="0.2">
      <c r="A1" s="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128</v>
      </c>
      <c r="B3" s="3" t="s">
        <v>129</v>
      </c>
      <c r="C3" s="3" t="s">
        <v>130</v>
      </c>
      <c r="D3" s="3" t="s">
        <v>131</v>
      </c>
    </row>
    <row r="4" spans="1:14" x14ac:dyDescent="0.2">
      <c r="A4" s="8" t="s">
        <v>132</v>
      </c>
      <c r="B4" s="8" t="s">
        <v>133</v>
      </c>
      <c r="C4" s="8" t="s">
        <v>134</v>
      </c>
      <c r="D4" s="8" t="s">
        <v>135</v>
      </c>
    </row>
    <row r="5" spans="1:14" x14ac:dyDescent="0.2">
      <c r="A5" s="8" t="s">
        <v>136</v>
      </c>
      <c r="B5" s="8" t="s">
        <v>137</v>
      </c>
      <c r="C5" s="8" t="s">
        <v>134</v>
      </c>
      <c r="D5" s="8" t="s">
        <v>138</v>
      </c>
    </row>
    <row r="6" spans="1:14" x14ac:dyDescent="0.2">
      <c r="A6" s="8" t="s">
        <v>139</v>
      </c>
      <c r="B6" s="8" t="s">
        <v>140</v>
      </c>
      <c r="C6" s="8" t="s">
        <v>134</v>
      </c>
      <c r="D6" s="8" t="s">
        <v>141</v>
      </c>
    </row>
    <row r="7" spans="1:14" x14ac:dyDescent="0.2">
      <c r="A7" s="8" t="s">
        <v>142</v>
      </c>
      <c r="B7" s="8" t="s">
        <v>143</v>
      </c>
      <c r="C7" s="8" t="s">
        <v>134</v>
      </c>
      <c r="D7" s="8" t="s">
        <v>144</v>
      </c>
    </row>
    <row r="8" spans="1:14" x14ac:dyDescent="0.2">
      <c r="A8" s="8" t="s">
        <v>145</v>
      </c>
      <c r="B8" s="8" t="s">
        <v>146</v>
      </c>
      <c r="C8" s="8" t="s">
        <v>147</v>
      </c>
      <c r="D8" s="8" t="s">
        <v>148</v>
      </c>
    </row>
    <row r="9" spans="1:14" x14ac:dyDescent="0.2">
      <c r="A9" s="8" t="s">
        <v>149</v>
      </c>
      <c r="B9" s="8" t="s">
        <v>150</v>
      </c>
      <c r="C9" s="8" t="s">
        <v>134</v>
      </c>
      <c r="D9" s="8" t="s">
        <v>151</v>
      </c>
    </row>
    <row r="10" spans="1:14" x14ac:dyDescent="0.2">
      <c r="A10" s="8" t="s">
        <v>152</v>
      </c>
      <c r="B10" s="8" t="s">
        <v>153</v>
      </c>
      <c r="C10" s="8" t="s">
        <v>154</v>
      </c>
      <c r="D10" s="8" t="s">
        <v>155</v>
      </c>
    </row>
    <row r="11" spans="1:14" x14ac:dyDescent="0.2">
      <c r="A11" s="8" t="s">
        <v>156</v>
      </c>
      <c r="B11" s="8" t="s">
        <v>157</v>
      </c>
      <c r="C11" s="8" t="s">
        <v>158</v>
      </c>
      <c r="D11" s="8" t="s">
        <v>159</v>
      </c>
    </row>
    <row r="12" spans="1:14" x14ac:dyDescent="0.2">
      <c r="A12" s="8" t="s">
        <v>160</v>
      </c>
      <c r="B12" s="8" t="s">
        <v>161</v>
      </c>
      <c r="C12" s="8" t="s">
        <v>134</v>
      </c>
      <c r="D12" s="8" t="s">
        <v>162</v>
      </c>
    </row>
    <row r="13" spans="1:14" x14ac:dyDescent="0.2">
      <c r="A13" s="8" t="s">
        <v>163</v>
      </c>
      <c r="B13" s="8" t="s">
        <v>164</v>
      </c>
      <c r="C13" s="8" t="s">
        <v>134</v>
      </c>
      <c r="D13" s="8" t="s">
        <v>165</v>
      </c>
    </row>
    <row r="14" spans="1:14" x14ac:dyDescent="0.2">
      <c r="A14" s="8" t="s">
        <v>166</v>
      </c>
      <c r="B14" s="8" t="s">
        <v>167</v>
      </c>
      <c r="C14" s="8" t="s">
        <v>134</v>
      </c>
      <c r="D14" s="8" t="s">
        <v>168</v>
      </c>
    </row>
    <row r="15" spans="1:14" x14ac:dyDescent="0.2">
      <c r="A15" s="8" t="s">
        <v>169</v>
      </c>
      <c r="B15" s="8" t="s">
        <v>116</v>
      </c>
      <c r="C15" s="8" t="s">
        <v>158</v>
      </c>
      <c r="D15" s="8" t="s">
        <v>170</v>
      </c>
    </row>
    <row r="18" spans="1:1" x14ac:dyDescent="0.2">
      <c r="A18" s="8" t="s">
        <v>171</v>
      </c>
    </row>
    <row r="19" spans="1:1" x14ac:dyDescent="0.2">
      <c r="A19" s="8" t="s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174</v>
      </c>
      <c r="B3" s="3" t="s">
        <v>175</v>
      </c>
      <c r="C3" s="3" t="s">
        <v>176</v>
      </c>
      <c r="D3" s="3" t="s">
        <v>177</v>
      </c>
      <c r="E3" s="3" t="s">
        <v>178</v>
      </c>
      <c r="F3" s="3" t="s">
        <v>179</v>
      </c>
    </row>
    <row r="4" spans="1:14" x14ac:dyDescent="0.2">
      <c r="A4" s="8" t="s">
        <v>180</v>
      </c>
      <c r="B4" s="29">
        <v>1580</v>
      </c>
      <c r="C4" s="29">
        <v>1853</v>
      </c>
      <c r="D4" s="29">
        <v>2082</v>
      </c>
      <c r="E4" s="29">
        <v>2342</v>
      </c>
      <c r="F4" s="29">
        <v>2618.4</v>
      </c>
    </row>
    <row r="5" spans="1:14" x14ac:dyDescent="0.2">
      <c r="A5" s="8" t="s">
        <v>181</v>
      </c>
      <c r="B5" s="29">
        <v>588</v>
      </c>
      <c r="C5" s="29">
        <v>692</v>
      </c>
      <c r="D5" s="29">
        <v>770</v>
      </c>
      <c r="E5" s="29">
        <v>865.8</v>
      </c>
      <c r="F5" s="29">
        <v>991.1</v>
      </c>
    </row>
    <row r="6" spans="1:14" x14ac:dyDescent="0.2">
      <c r="A6" s="8" t="s">
        <v>182</v>
      </c>
      <c r="B6" s="29">
        <v>166</v>
      </c>
      <c r="C6" s="29">
        <v>220</v>
      </c>
      <c r="D6" s="29">
        <v>256</v>
      </c>
      <c r="E6" s="29">
        <v>286</v>
      </c>
      <c r="F6" s="29">
        <v>341</v>
      </c>
    </row>
    <row r="7" spans="1:14" x14ac:dyDescent="0.2">
      <c r="A7" s="8" t="s">
        <v>183</v>
      </c>
      <c r="B7" s="29">
        <v>492</v>
      </c>
      <c r="C7" s="29">
        <v>462</v>
      </c>
      <c r="D7" s="29">
        <v>485</v>
      </c>
      <c r="E7" s="29">
        <v>570</v>
      </c>
      <c r="F7" s="29">
        <v>597</v>
      </c>
    </row>
    <row r="8" spans="1:14" x14ac:dyDescent="0.2">
      <c r="A8" s="8" t="s">
        <v>184</v>
      </c>
      <c r="B8" s="29">
        <v>22</v>
      </c>
      <c r="C8" s="29">
        <v>24</v>
      </c>
      <c r="D8" s="29">
        <v>30</v>
      </c>
      <c r="E8" s="29">
        <v>37</v>
      </c>
      <c r="F8" s="29">
        <v>39</v>
      </c>
    </row>
    <row r="9" spans="1:14" x14ac:dyDescent="0.2">
      <c r="A9" s="8" t="s">
        <v>185</v>
      </c>
      <c r="B9" s="29">
        <v>470</v>
      </c>
      <c r="C9" s="29">
        <v>438</v>
      </c>
      <c r="D9" s="29">
        <v>456</v>
      </c>
      <c r="E9" s="29">
        <v>533</v>
      </c>
      <c r="F9" s="29">
        <v>557</v>
      </c>
    </row>
    <row r="10" spans="1:14" x14ac:dyDescent="0.2">
      <c r="A10" s="8" t="s">
        <v>186</v>
      </c>
      <c r="B10" s="29">
        <v>66</v>
      </c>
      <c r="C10" s="29">
        <v>72</v>
      </c>
      <c r="D10" s="29">
        <v>354</v>
      </c>
      <c r="E10" s="29">
        <v>815</v>
      </c>
      <c r="F10" s="29">
        <v>46</v>
      </c>
    </row>
    <row r="11" spans="1:14" x14ac:dyDescent="0.2">
      <c r="A11" s="8" t="s">
        <v>187</v>
      </c>
      <c r="B11" s="30">
        <v>1.1000000000000001</v>
      </c>
      <c r="C11" s="30">
        <v>1.1499999999999999</v>
      </c>
      <c r="D11" s="30">
        <v>1.2</v>
      </c>
      <c r="E11" s="30">
        <v>1.27</v>
      </c>
      <c r="F11" s="30">
        <v>1.34</v>
      </c>
    </row>
    <row r="12" spans="1:14" x14ac:dyDescent="0.2">
      <c r="A12" s="8" t="s">
        <v>188</v>
      </c>
      <c r="B12" s="15">
        <v>0.16700000000000001</v>
      </c>
      <c r="C12" s="15">
        <v>0.222</v>
      </c>
      <c r="D12" s="15">
        <v>0.20699999999999999</v>
      </c>
      <c r="E12" s="15">
        <v>0.23899999999999999</v>
      </c>
      <c r="F12" s="15">
        <v>0.23699999999999999</v>
      </c>
    </row>
    <row r="13" spans="1:14" x14ac:dyDescent="0.2">
      <c r="A13" s="8" t="s">
        <v>189</v>
      </c>
      <c r="E13" s="29">
        <v>1875</v>
      </c>
      <c r="F13" s="29">
        <v>2037.3</v>
      </c>
    </row>
    <row r="15" spans="1:14" x14ac:dyDescent="0.2">
      <c r="A15" s="8" t="s">
        <v>190</v>
      </c>
      <c r="B15" s="14">
        <f>B5/B4</f>
        <v>0.3721518987341772</v>
      </c>
      <c r="C15" s="14">
        <f>C5/C4</f>
        <v>0.37344846195358877</v>
      </c>
      <c r="D15" s="14">
        <f>D5/D4</f>
        <v>0.36983669548511044</v>
      </c>
      <c r="E15" s="14">
        <f>E5/E4</f>
        <v>0.36968403074295469</v>
      </c>
      <c r="F15" s="14">
        <f>F5/F4</f>
        <v>0.37851359608921481</v>
      </c>
    </row>
    <row r="16" spans="1:14" x14ac:dyDescent="0.2">
      <c r="A16" s="8" t="s">
        <v>191</v>
      </c>
      <c r="C16" s="14">
        <f>C4/B4-1</f>
        <v>0.17278481012658231</v>
      </c>
      <c r="D16" s="14">
        <f>D4/C4-1</f>
        <v>0.12358337830545052</v>
      </c>
      <c r="E16" s="14">
        <f>E4/D4-1</f>
        <v>0.12487992315081642</v>
      </c>
      <c r="F16" s="14">
        <f>F4/E4-1</f>
        <v>0.11801878736122973</v>
      </c>
    </row>
    <row r="17" spans="1:6" x14ac:dyDescent="0.2">
      <c r="A17" s="8" t="s">
        <v>192</v>
      </c>
      <c r="B17" s="14">
        <f>B9/B5</f>
        <v>0.79931972789115646</v>
      </c>
      <c r="C17" s="14">
        <f>C9/C5</f>
        <v>0.63294797687861271</v>
      </c>
      <c r="D17" s="14">
        <f>D9/D5</f>
        <v>0.59220779220779218</v>
      </c>
      <c r="E17" s="14">
        <f>E9/E5</f>
        <v>0.61561561561561562</v>
      </c>
      <c r="F17" s="14">
        <f>F9/F5</f>
        <v>0.56200181616385836</v>
      </c>
    </row>
    <row r="19" spans="1:6" x14ac:dyDescent="0.2">
      <c r="A19" s="8" t="s">
        <v>193</v>
      </c>
    </row>
    <row r="20" spans="1:6" x14ac:dyDescent="0.2">
      <c r="A20" s="8" t="s">
        <v>194</v>
      </c>
    </row>
    <row r="21" spans="1:6" x14ac:dyDescent="0.2">
      <c r="A21" s="8" t="s">
        <v>195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8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197</v>
      </c>
      <c r="C3" s="8" t="s">
        <v>198</v>
      </c>
    </row>
    <row r="4" spans="1:14" x14ac:dyDescent="0.2">
      <c r="A4" s="3" t="s">
        <v>199</v>
      </c>
      <c r="C4" s="8" t="s">
        <v>200</v>
      </c>
    </row>
    <row r="5" spans="1:14" x14ac:dyDescent="0.2">
      <c r="A5" s="3" t="s">
        <v>201</v>
      </c>
      <c r="C5" s="8" t="s">
        <v>202</v>
      </c>
    </row>
    <row r="6" spans="1:14" x14ac:dyDescent="0.2">
      <c r="A6" s="3" t="s">
        <v>136</v>
      </c>
      <c r="C6" s="8" t="s">
        <v>203</v>
      </c>
    </row>
    <row r="7" spans="1:14" x14ac:dyDescent="0.2">
      <c r="A7" s="3" t="s">
        <v>204</v>
      </c>
      <c r="C7" s="8" t="s">
        <v>205</v>
      </c>
    </row>
    <row r="8" spans="1:14" x14ac:dyDescent="0.2">
      <c r="A8" s="3" t="s">
        <v>206</v>
      </c>
      <c r="C8" s="8" t="s">
        <v>207</v>
      </c>
    </row>
    <row r="9" spans="1:14" x14ac:dyDescent="0.2">
      <c r="A9" s="3" t="s">
        <v>208</v>
      </c>
      <c r="C9" s="8" t="s">
        <v>209</v>
      </c>
    </row>
    <row r="10" spans="1:14" x14ac:dyDescent="0.2">
      <c r="A10" s="3" t="s">
        <v>210</v>
      </c>
      <c r="C10" s="8" t="s">
        <v>211</v>
      </c>
    </row>
    <row r="11" spans="1:14" x14ac:dyDescent="0.2">
      <c r="A11" s="3" t="s">
        <v>212</v>
      </c>
      <c r="C11" s="8" t="s">
        <v>213</v>
      </c>
    </row>
    <row r="12" spans="1:14" x14ac:dyDescent="0.2">
      <c r="A12" s="3" t="s">
        <v>214</v>
      </c>
      <c r="C12" s="8" t="s">
        <v>215</v>
      </c>
    </row>
    <row r="15" spans="1:14" x14ac:dyDescent="0.2">
      <c r="A15" s="8" t="s">
        <v>216</v>
      </c>
    </row>
    <row r="16" spans="1:14" x14ac:dyDescent="0.2">
      <c r="A16" s="8" t="s">
        <v>217</v>
      </c>
    </row>
    <row r="17" spans="1:1" x14ac:dyDescent="0.2">
      <c r="A17" s="8" t="s">
        <v>218</v>
      </c>
    </row>
    <row r="18" spans="1:1" x14ac:dyDescent="0.2">
      <c r="A18" s="8" t="s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showGridLines="0" workbookViewId="0">
      <selection activeCell="A6" sqref="A6"/>
    </sheetView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221</v>
      </c>
    </row>
    <row r="4" spans="1:14" x14ac:dyDescent="0.2">
      <c r="A4" s="4" t="s">
        <v>222</v>
      </c>
      <c r="B4" s="18">
        <f>'03 Assumptions'!B22</f>
        <v>10182.37607498</v>
      </c>
    </row>
    <row r="5" spans="1:14" x14ac:dyDescent="0.2">
      <c r="A5" s="4" t="s">
        <v>223</v>
      </c>
      <c r="B5" s="18">
        <f>'03 Assumptions'!B23</f>
        <v>1767.3</v>
      </c>
    </row>
    <row r="6" spans="1:14" x14ac:dyDescent="0.2">
      <c r="A6" s="4" t="s">
        <v>224</v>
      </c>
      <c r="B6" s="18">
        <f>'03 Assumptions'!B24*('07 Purchase Price'!B7)</f>
        <v>149.37095093725</v>
      </c>
    </row>
    <row r="7" spans="1:14" x14ac:dyDescent="0.2">
      <c r="A7" s="4" t="s">
        <v>225</v>
      </c>
      <c r="B7" s="18">
        <f>'03 Assumptions'!B25*(B9-B18)</f>
        <v>200.62297310044229</v>
      </c>
    </row>
    <row r="8" spans="1:14" x14ac:dyDescent="0.2">
      <c r="A8" s="4" t="s">
        <v>226</v>
      </c>
      <c r="B8" s="7">
        <f>'03 Assumptions'!B44</f>
        <v>250</v>
      </c>
    </row>
    <row r="9" spans="1:14" x14ac:dyDescent="0.2">
      <c r="A9" s="3" t="s">
        <v>227</v>
      </c>
      <c r="B9" s="27">
        <f>(B4+B5+B6+B8-'03 Assumptions'!B25*B18)/(1-'03 Assumptions'!B25)</f>
        <v>12549.669999017691</v>
      </c>
    </row>
    <row r="11" spans="1:14" x14ac:dyDescent="0.2">
      <c r="A11" s="3" t="s">
        <v>228</v>
      </c>
    </row>
    <row r="12" spans="1:14" x14ac:dyDescent="0.2">
      <c r="A12" s="8" t="s">
        <v>229</v>
      </c>
      <c r="B12" s="6">
        <f>B13</f>
        <v>8024.9189240176911</v>
      </c>
    </row>
    <row r="13" spans="1:14" x14ac:dyDescent="0.2">
      <c r="A13" s="8" t="s">
        <v>230</v>
      </c>
      <c r="B13" s="18">
        <f>B9-B18</f>
        <v>8024.9189240176911</v>
      </c>
    </row>
    <row r="14" spans="1:14" x14ac:dyDescent="0.2">
      <c r="A14" s="8" t="s">
        <v>231</v>
      </c>
      <c r="B14" s="18">
        <f>'03 Assumptions'!B59</f>
        <v>1530</v>
      </c>
    </row>
    <row r="15" spans="1:14" x14ac:dyDescent="0.2">
      <c r="A15" s="8" t="s">
        <v>232</v>
      </c>
      <c r="B15" s="18">
        <f>B13-B14</f>
        <v>6494.9189240176911</v>
      </c>
    </row>
    <row r="16" spans="1:14" x14ac:dyDescent="0.2">
      <c r="A16" s="8" t="s">
        <v>233</v>
      </c>
      <c r="B16" s="18">
        <v>0</v>
      </c>
    </row>
    <row r="17" spans="1:2" x14ac:dyDescent="0.2">
      <c r="A17" s="8" t="s">
        <v>234</v>
      </c>
      <c r="B17" s="28">
        <v>0</v>
      </c>
    </row>
    <row r="18" spans="1:2" x14ac:dyDescent="0.2">
      <c r="A18" s="3" t="s">
        <v>235</v>
      </c>
      <c r="B18" s="27">
        <f>'03 Assumptions'!B58</f>
        <v>4524.7510750000001</v>
      </c>
    </row>
    <row r="19" spans="1:2" x14ac:dyDescent="0.2">
      <c r="A19" s="3" t="s">
        <v>236</v>
      </c>
      <c r="B19" s="18">
        <f>B13+B17+B18</f>
        <v>12549.669999017691</v>
      </c>
    </row>
    <row r="21" spans="1:2" x14ac:dyDescent="0.2">
      <c r="A21" s="23" t="str">
        <f>IF(ABS(B19-B9)&lt;0.1,"CHECK OK: sources = uses","ERROR: S&amp;U do not balance")</f>
        <v>CHECK OK: sources = uses</v>
      </c>
    </row>
    <row r="22" spans="1:2" x14ac:dyDescent="0.2">
      <c r="A22" s="8" t="s">
        <v>237</v>
      </c>
      <c r="B22" s="14">
        <f>B18/B19</f>
        <v>0.3605474148208016</v>
      </c>
    </row>
    <row r="23" spans="1:2" x14ac:dyDescent="0.2">
      <c r="A23" s="8" t="s">
        <v>238</v>
      </c>
    </row>
    <row r="24" spans="1:2" x14ac:dyDescent="0.2">
      <c r="A24" s="41" t="str">
        <f>IF(B15&gt;'03 Assumptions'!B60,"WARNING: Bridge/Senior plug exceeds the disclosed EUR6,050m ceiling -- the refi-net-debt / fee estimates (never disclosed, always this model's own assumption) likely need tightening, not the disclosed structure","CHECK OK: within disclosed EUR6,050m bridge ceiling")</f>
        <v>WARNING: Bridge/Senior plug exceeds the disclosed EUR6,050m ceiling -- the refi-net-debt / fee estimates (never disclosed, always this model's own assumption) likely need tightening, not the disclosed structure</v>
      </c>
    </row>
    <row r="25" spans="1:2" x14ac:dyDescent="0.2">
      <c r="A25" s="44" t="s">
        <v>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4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4" t="s">
        <v>241</v>
      </c>
      <c r="B3" s="24">
        <f>'03 Assumptions'!B20</f>
        <v>51.29</v>
      </c>
    </row>
    <row r="4" spans="1:14" x14ac:dyDescent="0.2">
      <c r="A4" s="4" t="s">
        <v>242</v>
      </c>
      <c r="B4" s="7">
        <f>'03 Assumptions'!B21</f>
        <v>209.125</v>
      </c>
    </row>
    <row r="5" spans="1:14" x14ac:dyDescent="0.2">
      <c r="A5" s="4" t="s">
        <v>243</v>
      </c>
      <c r="B5" s="7">
        <f>'03 Assumptions'!B22</f>
        <v>10182.37607498</v>
      </c>
    </row>
    <row r="6" spans="1:14" x14ac:dyDescent="0.2">
      <c r="A6" s="4" t="s">
        <v>244</v>
      </c>
      <c r="B6" s="7">
        <f>'03 Assumptions'!B23</f>
        <v>1767.3</v>
      </c>
    </row>
    <row r="7" spans="1:14" x14ac:dyDescent="0.2">
      <c r="A7" s="4" t="s">
        <v>245</v>
      </c>
      <c r="B7" s="18">
        <f>B5+B6</f>
        <v>11949.67607498</v>
      </c>
    </row>
    <row r="8" spans="1:14" x14ac:dyDescent="0.2">
      <c r="A8" s="4" t="s">
        <v>246</v>
      </c>
      <c r="B8" s="25">
        <f>B7/'03 Assumptions'!B16</f>
        <v>12.056983225688628</v>
      </c>
    </row>
    <row r="9" spans="1:14" x14ac:dyDescent="0.2">
      <c r="A9" s="4" t="s">
        <v>247</v>
      </c>
      <c r="B9" s="25">
        <f>B7/'09 Operating Model'!F18</f>
        <v>11.819945787194811</v>
      </c>
    </row>
    <row r="10" spans="1:14" x14ac:dyDescent="0.2">
      <c r="A10" s="4" t="s">
        <v>248</v>
      </c>
      <c r="B10" s="26">
        <f>52/46.06-1</f>
        <v>0.12896222318714723</v>
      </c>
    </row>
    <row r="11" spans="1:14" x14ac:dyDescent="0.2">
      <c r="A11" s="8" t="s">
        <v>249</v>
      </c>
      <c r="B11" s="25">
        <f>B7/877</f>
        <v>13.625628363717217</v>
      </c>
    </row>
    <row r="12" spans="1:14" x14ac:dyDescent="0.2">
      <c r="A12" s="8" t="s">
        <v>250</v>
      </c>
    </row>
    <row r="13" spans="1:14" x14ac:dyDescent="0.2">
      <c r="A13" s="23" t="str">
        <f>IF(ABS(B14-12.87)&lt;0.15,"CHECK OK: announced-basis entry ~12.9x ties to deal math","CHECK: entry multiple deviates from deal math")</f>
        <v>CHECK: entry multiple deviates from deal math</v>
      </c>
    </row>
    <row r="14" spans="1:14" x14ac:dyDescent="0.2">
      <c r="A14" t="s">
        <v>251</v>
      </c>
      <c r="B14">
        <f>(B5+'03 Assumptions'!B49)/'03 Assumptions'!B16</f>
        <v>12.32940780443951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174</v>
      </c>
      <c r="F3" s="3" t="s">
        <v>253</v>
      </c>
      <c r="G3" s="3" t="s">
        <v>254</v>
      </c>
      <c r="H3" s="3" t="s">
        <v>255</v>
      </c>
      <c r="I3" s="3" t="s">
        <v>104</v>
      </c>
      <c r="J3" s="3" t="s">
        <v>105</v>
      </c>
      <c r="K3" s="3" t="s">
        <v>106</v>
      </c>
    </row>
    <row r="4" spans="1:14" x14ac:dyDescent="0.2">
      <c r="A4" s="8" t="s">
        <v>256</v>
      </c>
      <c r="G4" s="11">
        <v>1</v>
      </c>
      <c r="H4" s="11">
        <v>2</v>
      </c>
      <c r="I4" s="11">
        <v>3</v>
      </c>
      <c r="J4" s="11">
        <v>4</v>
      </c>
      <c r="K4" s="11">
        <v>5</v>
      </c>
    </row>
    <row r="5" spans="1:14" x14ac:dyDescent="0.2">
      <c r="A5" s="8" t="s">
        <v>257</v>
      </c>
      <c r="F5" s="16">
        <f>'03 Assumptions'!B18*(1+'03 Assumptions'!B39)</f>
        <v>1232.7960000000003</v>
      </c>
      <c r="G5" s="16">
        <f>F5*(1+IF(G4&lt;=3,'03 Assumptions'!$F$6,'03 Assumptions'!$F$7))</f>
        <v>1405.3874400000004</v>
      </c>
      <c r="H5" s="16">
        <f>G5*(1+IF(H4&lt;=3,'03 Assumptions'!$F$6,'03 Assumptions'!$F$7))</f>
        <v>1602.1416816000008</v>
      </c>
      <c r="I5" s="16">
        <f>H5*(1+IF(I4&lt;=3,'03 Assumptions'!$F$6,'03 Assumptions'!$F$7))</f>
        <v>1826.4415170240011</v>
      </c>
      <c r="J5" s="16">
        <f>I5*(1+IF(J4&lt;=3,'03 Assumptions'!$F$6,'03 Assumptions'!$F$7))</f>
        <v>1990.8212535561613</v>
      </c>
      <c r="K5" s="16">
        <f>J5*(1+IF(K4&lt;=3,'03 Assumptions'!$F$6,'03 Assumptions'!$F$7))</f>
        <v>2169.9951663762158</v>
      </c>
    </row>
    <row r="6" spans="1:14" x14ac:dyDescent="0.2">
      <c r="A6" s="8" t="s">
        <v>258</v>
      </c>
      <c r="F6" s="16">
        <f>'03 Assumptions'!B19*(1+'03 Assumptions'!B40)</f>
        <v>1537</v>
      </c>
      <c r="G6" s="16">
        <f>F6*(1+'03 Assumptions'!$F$8)</f>
        <v>1567.74</v>
      </c>
      <c r="H6" s="16">
        <f>G6*(1+'03 Assumptions'!$F$8)</f>
        <v>1599.0948000000001</v>
      </c>
      <c r="I6" s="16">
        <f>H6*(1+'03 Assumptions'!$F$8)</f>
        <v>1631.0766960000001</v>
      </c>
      <c r="J6" s="16">
        <f>I6*(1+'03 Assumptions'!$F$8)</f>
        <v>1663.6982299200001</v>
      </c>
      <c r="K6" s="16">
        <f>J6*(1+'03 Assumptions'!$F$8)</f>
        <v>1696.9721945184001</v>
      </c>
    </row>
    <row r="7" spans="1:14" x14ac:dyDescent="0.2">
      <c r="A7" s="3" t="s">
        <v>259</v>
      </c>
      <c r="F7" s="16">
        <f t="shared" ref="F7:K7" si="0">F5+F6</f>
        <v>2769.7960000000003</v>
      </c>
      <c r="G7" s="16">
        <f t="shared" si="0"/>
        <v>2973.1274400000002</v>
      </c>
      <c r="H7" s="16">
        <f t="shared" si="0"/>
        <v>3201.2364816000008</v>
      </c>
      <c r="I7" s="16">
        <f t="shared" si="0"/>
        <v>3457.5182130240009</v>
      </c>
      <c r="J7" s="16">
        <f t="shared" si="0"/>
        <v>3654.5194834761614</v>
      </c>
      <c r="K7" s="16">
        <f t="shared" si="0"/>
        <v>3866.9673608946159</v>
      </c>
    </row>
    <row r="8" spans="1:14" x14ac:dyDescent="0.2">
      <c r="A8" s="3" t="s">
        <v>260</v>
      </c>
      <c r="F8" s="16">
        <f>F7*'03 Assumptions'!B41</f>
        <v>1010.97554</v>
      </c>
      <c r="G8" s="16">
        <f>G7*('03 Assumptions'!$B$41+('03 Assumptions'!$F$9-'03 Assumptions'!$B$41)*MIN(G4,3)/3)</f>
        <v>1097.5795466</v>
      </c>
      <c r="H8" s="16">
        <f>H7*('03 Assumptions'!$B$41+('03 Assumptions'!$F$9-'03 Assumptions'!$B$41)*MIN(H4,3)/3)</f>
        <v>1195.1282864640004</v>
      </c>
      <c r="I8" s="16">
        <f>I7*('03 Assumptions'!$B$41+('03 Assumptions'!$F$9-'03 Assumptions'!$B$41)*MIN(I4,3)/3)</f>
        <v>1305.2131254165604</v>
      </c>
      <c r="J8" s="16">
        <f>J7*('03 Assumptions'!$B$41+('03 Assumptions'!$F$9-'03 Assumptions'!$B$41)*MIN(J4,3)/3)</f>
        <v>1379.5811050122509</v>
      </c>
      <c r="K8" s="16">
        <f>K7*('03 Assumptions'!$B$41+('03 Assumptions'!$F$9-'03 Assumptions'!$B$41)*MIN(K4,3)/3)</f>
        <v>1459.7801787377175</v>
      </c>
    </row>
    <row r="9" spans="1:14" x14ac:dyDescent="0.2">
      <c r="A9" s="8" t="s">
        <v>190</v>
      </c>
      <c r="F9" s="14">
        <f t="shared" ref="F9:K9" si="1">F8/F7</f>
        <v>0.36499999999999999</v>
      </c>
      <c r="G9" s="14">
        <f t="shared" si="1"/>
        <v>0.36916666666666664</v>
      </c>
      <c r="H9" s="14">
        <f t="shared" si="1"/>
        <v>0.37333333333333335</v>
      </c>
      <c r="I9" s="14">
        <f t="shared" si="1"/>
        <v>0.3775</v>
      </c>
      <c r="J9" s="14">
        <f t="shared" si="1"/>
        <v>0.3775</v>
      </c>
      <c r="K9" s="14">
        <f t="shared" si="1"/>
        <v>0.3775</v>
      </c>
    </row>
    <row r="10" spans="1:14" x14ac:dyDescent="0.2">
      <c r="A10" s="8" t="s">
        <v>261</v>
      </c>
      <c r="F10" s="16">
        <f>-F7*'03 Assumptions'!$B$33</f>
        <v>-218.81388400000003</v>
      </c>
      <c r="G10" s="16">
        <f>-G7*'03 Assumptions'!$B$33</f>
        <v>-234.87706776000002</v>
      </c>
      <c r="H10" s="16">
        <f>-H7*'03 Assumptions'!$B$33</f>
        <v>-252.89768204640006</v>
      </c>
      <c r="I10" s="16">
        <f>-I7*'03 Assumptions'!$B$33</f>
        <v>-273.14393882889607</v>
      </c>
      <c r="J10" s="16">
        <f>-J7*'03 Assumptions'!$B$33</f>
        <v>-288.70703919461675</v>
      </c>
      <c r="K10" s="16">
        <f>-K7*'03 Assumptions'!$B$33</f>
        <v>-305.49042151067465</v>
      </c>
    </row>
    <row r="11" spans="1:14" x14ac:dyDescent="0.2">
      <c r="A11" s="8" t="s">
        <v>262</v>
      </c>
      <c r="F11" s="16">
        <f t="shared" ref="F11:K11" si="2">F8+F10</f>
        <v>792.16165599999999</v>
      </c>
      <c r="G11" s="16">
        <f t="shared" si="2"/>
        <v>862.70247883999991</v>
      </c>
      <c r="H11" s="16">
        <f t="shared" si="2"/>
        <v>942.23060441760038</v>
      </c>
      <c r="I11" s="16">
        <f t="shared" si="2"/>
        <v>1032.0691865876643</v>
      </c>
      <c r="J11" s="16">
        <f t="shared" si="2"/>
        <v>1090.8740658176341</v>
      </c>
      <c r="K11" s="16">
        <f t="shared" si="2"/>
        <v>1154.2897572270429</v>
      </c>
    </row>
    <row r="12" spans="1:14" x14ac:dyDescent="0.2">
      <c r="A12" s="8" t="s">
        <v>263</v>
      </c>
      <c r="F12" s="16">
        <f>-F7*'03 Assumptions'!$B$32</f>
        <v>-48.471430000000012</v>
      </c>
      <c r="G12" s="16">
        <f>-G7*'03 Assumptions'!$B$32</f>
        <v>-52.02973020000001</v>
      </c>
      <c r="H12" s="16">
        <f>-H7*'03 Assumptions'!$B$32</f>
        <v>-56.021638428000017</v>
      </c>
      <c r="I12" s="16">
        <f>-I7*'03 Assumptions'!$B$32</f>
        <v>-60.506568727920019</v>
      </c>
      <c r="J12" s="16">
        <f>-J7*'03 Assumptions'!$B$32</f>
        <v>-63.954090960832829</v>
      </c>
      <c r="K12" s="16">
        <f>-K7*'03 Assumptions'!$B$32</f>
        <v>-67.671928815655789</v>
      </c>
    </row>
    <row r="13" spans="1:14" x14ac:dyDescent="0.2">
      <c r="A13" s="8" t="s">
        <v>264</v>
      </c>
      <c r="F13" s="16">
        <f>-(F7-'03 Assumptions'!B17)*'03 Assumptions'!$B$35</f>
        <v>-22.709400000000027</v>
      </c>
      <c r="G13" s="16">
        <f>-(G7-F7)*'03 Assumptions'!$B$35</f>
        <v>-30.499715999999989</v>
      </c>
      <c r="H13" s="16">
        <f>-(H7-G7)*'03 Assumptions'!$B$35</f>
        <v>-34.216356240000096</v>
      </c>
      <c r="I13" s="16">
        <f>-(I7-H7)*'03 Assumptions'!$B$35</f>
        <v>-38.442259713600016</v>
      </c>
      <c r="J13" s="16">
        <f>-(J7-I7)*'03 Assumptions'!$B$35</f>
        <v>-29.550190567824075</v>
      </c>
      <c r="K13" s="16">
        <f>-(K7-J7)*'03 Assumptions'!$B$35</f>
        <v>-31.867181612768171</v>
      </c>
    </row>
    <row r="15" spans="1:14" x14ac:dyDescent="0.2">
      <c r="A15" s="8" t="s">
        <v>265</v>
      </c>
      <c r="F15" s="14">
        <f t="shared" ref="F15:K15" si="3">F5/F7</f>
        <v>0.44508548644015666</v>
      </c>
      <c r="G15" s="14">
        <f t="shared" si="3"/>
        <v>0.47269666987433284</v>
      </c>
      <c r="H15" s="14">
        <f t="shared" si="3"/>
        <v>0.50047589136533854</v>
      </c>
      <c r="I15" s="14">
        <f t="shared" si="3"/>
        <v>0.52825217525797674</v>
      </c>
      <c r="J15" s="14">
        <f t="shared" si="3"/>
        <v>0.54475595562087453</v>
      </c>
      <c r="K15" s="14">
        <f t="shared" si="3"/>
        <v>0.56116200729302024</v>
      </c>
    </row>
    <row r="16" spans="1:14" x14ac:dyDescent="0.2">
      <c r="A16" s="8" t="s">
        <v>266</v>
      </c>
      <c r="G16" s="14">
        <f>G8/F8-1</f>
        <v>8.5663800135065582E-2</v>
      </c>
      <c r="H16" s="14">
        <f>H8/G8-1</f>
        <v>8.887623695811353E-2</v>
      </c>
      <c r="I16" s="14">
        <f>I8/H8-1</f>
        <v>9.2111315746919109E-2</v>
      </c>
      <c r="J16" s="14">
        <f>J8/I8-1</f>
        <v>5.697765226805851E-2</v>
      </c>
      <c r="K16" s="14">
        <f>K8/J8-1</f>
        <v>5.8132916893461228E-2</v>
      </c>
    </row>
    <row r="17" spans="1:11" x14ac:dyDescent="0.2">
      <c r="A17" s="8" t="s">
        <v>267</v>
      </c>
      <c r="F17" s="16">
        <v>0</v>
      </c>
      <c r="G17" s="16">
        <v>0</v>
      </c>
      <c r="H17" s="16">
        <f>G17+'03 Assumptions'!$F$13/'03 Assumptions'!$B$43</f>
        <v>44.444444444444443</v>
      </c>
      <c r="I17" s="16">
        <f>H17+'03 Assumptions'!$F$13/'03 Assumptions'!$B$43</f>
        <v>88.888888888888886</v>
      </c>
      <c r="J17" s="16">
        <f>I17+'03 Assumptions'!$F$13/'03 Assumptions'!$B$43</f>
        <v>133.33333333333331</v>
      </c>
      <c r="K17" s="16">
        <f>J17+'03 Assumptions'!$F$13/'03 Assumptions'!$B$43</f>
        <v>177.77777777777777</v>
      </c>
    </row>
    <row r="18" spans="1:11" x14ac:dyDescent="0.2">
      <c r="A18" s="3" t="s">
        <v>268</v>
      </c>
      <c r="F18" s="16">
        <f t="shared" ref="F18:K18" si="4">F8+F17</f>
        <v>1010.97554</v>
      </c>
      <c r="G18" s="16">
        <f t="shared" si="4"/>
        <v>1097.5795466</v>
      </c>
      <c r="H18" s="16">
        <f t="shared" si="4"/>
        <v>1239.5727309084448</v>
      </c>
      <c r="I18" s="16">
        <f t="shared" si="4"/>
        <v>1394.1020143054493</v>
      </c>
      <c r="J18" s="16">
        <f t="shared" si="4"/>
        <v>1512.9144383455841</v>
      </c>
      <c r="K18" s="16">
        <f t="shared" si="4"/>
        <v>1637.5579565154953</v>
      </c>
    </row>
    <row r="20" spans="1:11" x14ac:dyDescent="0.2">
      <c r="A20" s="23" t="str">
        <f>IF(AND(F8&gt;995,F8&lt;1031),"CHECK OK: 2026E EBITDA within guidance 995-1,030","CHECK: 2026E EBITDA outside guidance")</f>
        <v>CHECK OK: 2026E EBITDA within guidance 995-1,030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44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174</v>
      </c>
      <c r="G3" s="3" t="s">
        <v>254</v>
      </c>
      <c r="H3" s="3" t="s">
        <v>255</v>
      </c>
      <c r="I3" s="3" t="s">
        <v>104</v>
      </c>
      <c r="J3" s="3" t="s">
        <v>105</v>
      </c>
      <c r="K3" s="3" t="s">
        <v>106</v>
      </c>
    </row>
    <row r="5" spans="1:14" x14ac:dyDescent="0.2">
      <c r="A5" s="8" t="s">
        <v>270</v>
      </c>
      <c r="G5" s="10">
        <f>'06 Sources &amp; Uses'!B14</f>
        <v>1530</v>
      </c>
      <c r="H5" s="16">
        <f>G8</f>
        <v>1661.58</v>
      </c>
      <c r="I5" s="16">
        <f>H8</f>
        <v>1804.47588</v>
      </c>
      <c r="J5" s="16">
        <f>I8</f>
        <v>1959.6608056800001</v>
      </c>
      <c r="K5" s="16">
        <f>J8</f>
        <v>2128.1916349684802</v>
      </c>
    </row>
    <row r="6" spans="1:14" x14ac:dyDescent="0.2">
      <c r="A6" s="8" t="s">
        <v>271</v>
      </c>
      <c r="G6" s="16">
        <f>G5*'03 Assumptions'!$B$63</f>
        <v>131.57999999999998</v>
      </c>
      <c r="H6" s="16">
        <f>H5*'03 Assumptions'!$B$63</f>
        <v>142.89587999999998</v>
      </c>
      <c r="I6" s="16">
        <f>I5*'03 Assumptions'!$B$63</f>
        <v>155.18492567999999</v>
      </c>
      <c r="J6" s="16">
        <f>J5*'03 Assumptions'!$B$63</f>
        <v>168.53082928847999</v>
      </c>
      <c r="K6" s="16">
        <f>K5*'03 Assumptions'!$B$63</f>
        <v>183.02448060728929</v>
      </c>
    </row>
    <row r="7" spans="1:14" x14ac:dyDescent="0.2">
      <c r="A7" s="8" t="s">
        <v>272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</row>
    <row r="8" spans="1:14" x14ac:dyDescent="0.2">
      <c r="A8" s="8" t="s">
        <v>273</v>
      </c>
      <c r="G8" s="16">
        <f>G5+G6+G7</f>
        <v>1661.58</v>
      </c>
      <c r="H8" s="16">
        <f>H5+H6+H7</f>
        <v>1804.47588</v>
      </c>
      <c r="I8" s="16">
        <f>I5+I6+I7</f>
        <v>1959.6608056800001</v>
      </c>
      <c r="J8" s="16">
        <f>J5+J6+J7</f>
        <v>2128.1916349684802</v>
      </c>
      <c r="K8" s="16">
        <f>K5+K6+K7</f>
        <v>2311.2161155757694</v>
      </c>
    </row>
    <row r="10" spans="1:14" x14ac:dyDescent="0.2">
      <c r="A10" s="8" t="s">
        <v>274</v>
      </c>
      <c r="G10" s="10">
        <f>'06 Sources &amp; Uses'!B15</f>
        <v>6494.9189240176911</v>
      </c>
      <c r="H10" s="16">
        <f>G13</f>
        <v>6391.844448239126</v>
      </c>
      <c r="I10" s="16">
        <f>H13</f>
        <v>6167.9853873221527</v>
      </c>
      <c r="J10" s="16">
        <f>I13</f>
        <v>5819.1307698929395</v>
      </c>
      <c r="K10" s="16">
        <f>J13</f>
        <v>5355.288942901685</v>
      </c>
    </row>
    <row r="11" spans="1:14" x14ac:dyDescent="0.2">
      <c r="A11" s="8" t="s">
        <v>275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</row>
    <row r="12" spans="1:14" x14ac:dyDescent="0.2">
      <c r="A12" s="8" t="s">
        <v>276</v>
      </c>
      <c r="G12" s="16">
        <f>-MIN(G10+G11,G34)</f>
        <v>-103.07447577856504</v>
      </c>
      <c r="H12" s="16">
        <f>-MIN(H10+H11,H34)</f>
        <v>-223.85906091697325</v>
      </c>
      <c r="I12" s="16">
        <f>-MIN(I10+I11,I34)</f>
        <v>-348.8546174292137</v>
      </c>
      <c r="J12" s="16">
        <f>-MIN(J10+J11,J34)</f>
        <v>-463.84182699125495</v>
      </c>
      <c r="K12" s="16">
        <f>-MIN(K10+K11,K34)</f>
        <v>-977.18649128450556</v>
      </c>
    </row>
    <row r="13" spans="1:14" x14ac:dyDescent="0.2">
      <c r="A13" s="8" t="s">
        <v>277</v>
      </c>
      <c r="G13" s="16">
        <f>G10+G11+G12</f>
        <v>6391.844448239126</v>
      </c>
      <c r="H13" s="16">
        <f>H10+H11+H12</f>
        <v>6167.9853873221527</v>
      </c>
      <c r="I13" s="16">
        <f>I10+I11+I12</f>
        <v>5819.1307698929395</v>
      </c>
      <c r="J13" s="16">
        <f>J10+J11+J12</f>
        <v>5355.288942901685</v>
      </c>
      <c r="K13" s="16">
        <f>K10+K11+K12</f>
        <v>4378.1024516171792</v>
      </c>
    </row>
    <row r="15" spans="1:14" x14ac:dyDescent="0.2">
      <c r="A15" s="8" t="s">
        <v>278</v>
      </c>
      <c r="G15" s="10">
        <f>'06 Sources &amp; Uses'!B16</f>
        <v>0</v>
      </c>
      <c r="H15" s="10">
        <f>'06 Sources &amp; Uses'!B16</f>
        <v>0</v>
      </c>
      <c r="I15" s="10">
        <f>'06 Sources &amp; Uses'!B16</f>
        <v>0</v>
      </c>
      <c r="J15" s="10">
        <f>'06 Sources &amp; Uses'!B16</f>
        <v>0</v>
      </c>
      <c r="K15" s="10">
        <f>'06 Sources &amp; Uses'!B16</f>
        <v>0</v>
      </c>
    </row>
    <row r="17" spans="1:11" x14ac:dyDescent="0.2">
      <c r="A17" s="3" t="s">
        <v>279</v>
      </c>
      <c r="G17" s="16">
        <f>G8+G13+G15</f>
        <v>8053.4244482391259</v>
      </c>
      <c r="H17" s="16">
        <f>H8+H13+H15</f>
        <v>7972.4612673221527</v>
      </c>
      <c r="I17" s="16">
        <f>I8+I13+I15</f>
        <v>7778.7915755729391</v>
      </c>
      <c r="J17" s="16">
        <f>J8+J13+J15</f>
        <v>7483.4805778701648</v>
      </c>
      <c r="K17" s="16">
        <f>K8+K13+K15</f>
        <v>6689.3185671929486</v>
      </c>
    </row>
    <row r="18" spans="1:11" x14ac:dyDescent="0.2">
      <c r="A18" s="8" t="s">
        <v>280</v>
      </c>
      <c r="G18" s="16">
        <f>MAX(0,G34+G7+G12)</f>
        <v>0</v>
      </c>
      <c r="H18" s="16">
        <f>MAX(0,H34+H7+H12)+G18</f>
        <v>0</v>
      </c>
      <c r="I18" s="16">
        <f>MAX(0,I34+I7+I12)+H18</f>
        <v>0</v>
      </c>
      <c r="J18" s="16">
        <f>MAX(0,J34+J7+J12)+I18</f>
        <v>0</v>
      </c>
      <c r="K18" s="16">
        <f>MAX(0,K34+K7+K12)+J18</f>
        <v>0</v>
      </c>
    </row>
    <row r="19" spans="1:11" x14ac:dyDescent="0.2">
      <c r="A19" s="3" t="s">
        <v>281</v>
      </c>
      <c r="G19" s="16">
        <f>G17-G18-'03 Assumptions'!$B$44</f>
        <v>7803.4244482391259</v>
      </c>
      <c r="H19" s="16">
        <f>H17-H18-'03 Assumptions'!$B$44</f>
        <v>7722.4612673221527</v>
      </c>
      <c r="I19" s="16">
        <f>I17-I18-'03 Assumptions'!$B$44</f>
        <v>7528.7915755729391</v>
      </c>
      <c r="J19" s="16">
        <f>J17-J18-'03 Assumptions'!$B$44</f>
        <v>7233.4805778701648</v>
      </c>
      <c r="K19" s="16">
        <f>K17-K18-'03 Assumptions'!$B$44</f>
        <v>6439.3185671929486</v>
      </c>
    </row>
    <row r="21" spans="1:11" x14ac:dyDescent="0.2">
      <c r="A21" s="8" t="s">
        <v>282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</row>
    <row r="22" spans="1:11" x14ac:dyDescent="0.2">
      <c r="A22" s="8" t="s">
        <v>283</v>
      </c>
      <c r="G22" s="16">
        <f>-G10*'03 Assumptions'!$B$62</f>
        <v>-379.95275705503497</v>
      </c>
      <c r="H22" s="16">
        <f>-H10*'03 Assumptions'!$B$62</f>
        <v>-373.92290022198887</v>
      </c>
      <c r="I22" s="16">
        <f>-I10*'03 Assumptions'!$B$62</f>
        <v>-360.82714515834596</v>
      </c>
      <c r="J22" s="16">
        <f>-J10*'03 Assumptions'!$B$62</f>
        <v>-340.41915003873697</v>
      </c>
      <c r="K22" s="16">
        <f>-K10*'03 Assumptions'!$B$62</f>
        <v>-313.28440315974859</v>
      </c>
    </row>
    <row r="23" spans="1:11" x14ac:dyDescent="0.2">
      <c r="A23" s="8" t="s">
        <v>278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</row>
    <row r="24" spans="1:11" x14ac:dyDescent="0.2">
      <c r="A24" s="8" t="s">
        <v>31</v>
      </c>
      <c r="G24" s="16">
        <f>-'03 Assumptions'!$B$61*'03 Assumptions'!$B$31</f>
        <v>-4</v>
      </c>
      <c r="H24" s="16">
        <f>-'03 Assumptions'!$B$61*'03 Assumptions'!$B$31</f>
        <v>-4</v>
      </c>
      <c r="I24" s="16">
        <f>-'03 Assumptions'!$B$61*'03 Assumptions'!$B$31</f>
        <v>-4</v>
      </c>
      <c r="J24" s="16">
        <f>-'03 Assumptions'!$B$61*'03 Assumptions'!$B$31</f>
        <v>-4</v>
      </c>
      <c r="K24" s="16">
        <f>-'03 Assumptions'!$B$61*'03 Assumptions'!$B$31</f>
        <v>-4</v>
      </c>
    </row>
    <row r="25" spans="1:11" x14ac:dyDescent="0.2">
      <c r="A25" s="3" t="s">
        <v>284</v>
      </c>
      <c r="G25" s="16">
        <f>SUM(G21:G24)</f>
        <v>-383.95275705503497</v>
      </c>
      <c r="H25" s="16">
        <f>SUM(H21:H24)</f>
        <v>-377.92290022198887</v>
      </c>
      <c r="I25" s="16">
        <f>SUM(I21:I24)</f>
        <v>-364.82714515834596</v>
      </c>
      <c r="J25" s="16">
        <f>SUM(J21:J24)</f>
        <v>-344.41915003873697</v>
      </c>
      <c r="K25" s="16">
        <f>SUM(K21:K24)</f>
        <v>-317.28440315974859</v>
      </c>
    </row>
    <row r="26" spans="1:11" x14ac:dyDescent="0.2">
      <c r="A26" s="8" t="s">
        <v>285</v>
      </c>
      <c r="G26" s="10">
        <f>-'03 Assumptions'!$F$13</f>
        <v>-400</v>
      </c>
      <c r="H26" s="10">
        <f>-'03 Assumptions'!$F$13</f>
        <v>-400</v>
      </c>
      <c r="I26" s="10">
        <f>-'03 Assumptions'!$F$13</f>
        <v>-400</v>
      </c>
      <c r="J26" s="10">
        <f>-'03 Assumptions'!$F$13</f>
        <v>-400</v>
      </c>
      <c r="K26" s="10">
        <v>0</v>
      </c>
    </row>
    <row r="27" spans="1:11" x14ac:dyDescent="0.2">
      <c r="A27" s="8" t="s">
        <v>260</v>
      </c>
      <c r="G27" s="10">
        <f>'09 Operating Model'!G18</f>
        <v>1097.5795466</v>
      </c>
      <c r="H27" s="10">
        <f>'09 Operating Model'!H18</f>
        <v>1239.5727309084448</v>
      </c>
      <c r="I27" s="10">
        <f>'09 Operating Model'!I18</f>
        <v>1394.1020143054493</v>
      </c>
      <c r="J27" s="10">
        <f>'09 Operating Model'!J18</f>
        <v>1512.9144383455841</v>
      </c>
      <c r="K27" s="10">
        <f>'09 Operating Model'!K18</f>
        <v>1637.5579565154953</v>
      </c>
    </row>
    <row r="28" spans="1:11" x14ac:dyDescent="0.2">
      <c r="A28" s="8" t="s">
        <v>286</v>
      </c>
      <c r="G28" s="10">
        <f>'09 Operating Model'!G12</f>
        <v>-52.02973020000001</v>
      </c>
      <c r="H28" s="10">
        <f>'09 Operating Model'!H12</f>
        <v>-56.021638428000017</v>
      </c>
      <c r="I28" s="10">
        <f>'09 Operating Model'!I12</f>
        <v>-60.506568727920019</v>
      </c>
      <c r="J28" s="10">
        <f>'09 Operating Model'!J12</f>
        <v>-63.954090960832829</v>
      </c>
      <c r="K28" s="10">
        <f>'09 Operating Model'!K12</f>
        <v>-67.671928815655789</v>
      </c>
    </row>
    <row r="29" spans="1:11" x14ac:dyDescent="0.2">
      <c r="A29" s="8" t="s">
        <v>287</v>
      </c>
      <c r="G29" s="10">
        <f>'09 Operating Model'!G13</f>
        <v>-30.499715999999989</v>
      </c>
      <c r="H29" s="10">
        <f>'09 Operating Model'!H13</f>
        <v>-34.216356240000096</v>
      </c>
      <c r="I29" s="10">
        <f>'09 Operating Model'!I13</f>
        <v>-38.442259713600016</v>
      </c>
      <c r="J29" s="10">
        <f>'09 Operating Model'!J13</f>
        <v>-29.550190567824075</v>
      </c>
      <c r="K29" s="10">
        <f>'09 Operating Model'!K13</f>
        <v>-31.867181612768171</v>
      </c>
    </row>
    <row r="30" spans="1:11" x14ac:dyDescent="0.2">
      <c r="A30" s="8" t="s">
        <v>288</v>
      </c>
      <c r="G30" s="16">
        <f>-'03 Assumptions'!$B$34*MAX(0,G27+'09 Operating Model'!G10-MIN(-G25,'03 Assumptions'!$B$45*G27))</f>
        <v>-128.02286756639998</v>
      </c>
      <c r="H30" s="16">
        <f>-'03 Assumptions'!$B$34*MAX(0,H27+'09 Operating Model'!H10-MIN(-H25,'03 Assumptions'!$B$45*H27))</f>
        <v>-147.55277510148272</v>
      </c>
      <c r="I30" s="16">
        <f>-'03 Assumptions'!$B$34*MAX(0,I27+'09 Operating Model'!I10-MIN(-I25,'03 Assumptions'!$B$45*I27))</f>
        <v>-181.47142327636973</v>
      </c>
      <c r="J30" s="16">
        <f>-'03 Assumptions'!$B$34*MAX(0,J27+'09 Operating Model'!J10-MIN(-J25,'03 Assumptions'!$B$45*J27))</f>
        <v>-211.14917978693529</v>
      </c>
      <c r="K30" s="16">
        <f>-'03 Assumptions'!$B$34*MAX(0,K27+'09 Operating Model'!K10-MIN(-K25,'03 Assumptions'!$B$45*K27))</f>
        <v>-243.54795164281731</v>
      </c>
    </row>
    <row r="31" spans="1:11" x14ac:dyDescent="0.2">
      <c r="A31" s="8" t="s">
        <v>289</v>
      </c>
      <c r="G31" s="16">
        <f>G25</f>
        <v>-383.95275705503497</v>
      </c>
      <c r="H31" s="16">
        <f>H25</f>
        <v>-377.92290022198887</v>
      </c>
      <c r="I31" s="16">
        <f>I25</f>
        <v>-364.82714515834596</v>
      </c>
      <c r="J31" s="16">
        <f>J25</f>
        <v>-344.41915003873697</v>
      </c>
      <c r="K31" s="16">
        <f>K25</f>
        <v>-317.28440315974859</v>
      </c>
    </row>
    <row r="32" spans="1:11" x14ac:dyDescent="0.2">
      <c r="A32" s="3" t="s">
        <v>290</v>
      </c>
      <c r="G32" s="16">
        <f>G27+G28+G29+G30+G31+G26</f>
        <v>103.07447577856504</v>
      </c>
      <c r="H32" s="16">
        <f>H27+H28+H29+H30+H31+H26</f>
        <v>223.85906091697325</v>
      </c>
      <c r="I32" s="16">
        <f>I27+I28+I29+I30+I31+I26</f>
        <v>348.8546174292137</v>
      </c>
      <c r="J32" s="16">
        <f>J27+J28+J29+J30+J31+J26</f>
        <v>463.84182699125495</v>
      </c>
      <c r="K32" s="16">
        <f>K27+K28+K29+K30+K31+K26</f>
        <v>977.18649128450556</v>
      </c>
    </row>
    <row r="33" spans="1:11" x14ac:dyDescent="0.2">
      <c r="A33" s="8" t="s">
        <v>291</v>
      </c>
      <c r="G33" s="16">
        <f>G11</f>
        <v>0</v>
      </c>
      <c r="H33" s="16">
        <f>H11</f>
        <v>0</v>
      </c>
      <c r="I33" s="16">
        <f>I11</f>
        <v>0</v>
      </c>
      <c r="J33" s="16">
        <f>J11</f>
        <v>0</v>
      </c>
      <c r="K33" s="16">
        <f>K11</f>
        <v>0</v>
      </c>
    </row>
    <row r="34" spans="1:11" x14ac:dyDescent="0.2">
      <c r="A34" s="8" t="s">
        <v>292</v>
      </c>
      <c r="G34" s="16">
        <f>MAX(0,G32+G33)*'03 Assumptions'!$F$12</f>
        <v>103.07447577856504</v>
      </c>
      <c r="H34" s="16">
        <f>MAX(0,H32+H33)*'03 Assumptions'!$F$12</f>
        <v>223.85906091697325</v>
      </c>
      <c r="I34" s="16">
        <f>MAX(0,I32+I33)*'03 Assumptions'!$F$12</f>
        <v>348.8546174292137</v>
      </c>
      <c r="J34" s="16">
        <f>MAX(0,J32+J33)*'03 Assumptions'!$F$12</f>
        <v>463.84182699125495</v>
      </c>
      <c r="K34" s="16">
        <f>MAX(0,K32+K33)*'03 Assumptions'!$F$12</f>
        <v>977.18649128450556</v>
      </c>
    </row>
    <row r="36" spans="1:11" x14ac:dyDescent="0.2">
      <c r="A36" s="3" t="s">
        <v>293</v>
      </c>
      <c r="G36" s="22">
        <f>G19/G27</f>
        <v>7.109666422276173</v>
      </c>
      <c r="H36" s="22">
        <f>H19/H27</f>
        <v>6.2299380058664227</v>
      </c>
      <c r="I36" s="22">
        <f>I19/I27</f>
        <v>5.4004595777905333</v>
      </c>
      <c r="J36" s="22">
        <f>J19/J27</f>
        <v>4.7811564187200073</v>
      </c>
      <c r="K36" s="22">
        <f>K19/K27</f>
        <v>3.9322691093602322</v>
      </c>
    </row>
    <row r="37" spans="1:11" x14ac:dyDescent="0.2">
      <c r="A37" s="3" t="s">
        <v>294</v>
      </c>
      <c r="G37" s="22">
        <f>-G27/G25</f>
        <v>2.8586317624558046</v>
      </c>
      <c r="H37" s="22">
        <f>-H27/H25</f>
        <v>3.2799619450960229</v>
      </c>
      <c r="I37" s="22">
        <f>-I27/I25</f>
        <v>3.8212672297187948</v>
      </c>
      <c r="J37" s="22">
        <f>-J27/J25</f>
        <v>4.3926548165960746</v>
      </c>
      <c r="K37" s="22">
        <f>-K27/K25</f>
        <v>5.161167521023736</v>
      </c>
    </row>
    <row r="38" spans="1:11" x14ac:dyDescent="0.2">
      <c r="A38" s="8" t="s">
        <v>295</v>
      </c>
      <c r="G38" s="22">
        <f>(G27+G28+G30)/-(G25-G33+0.0001)</f>
        <v>2.3896877179367548</v>
      </c>
      <c r="H38" s="22">
        <f>(H27+H28+H30)/-(H25-H33+0.0001)</f>
        <v>2.7412961503524658</v>
      </c>
      <c r="I38" s="22">
        <f>(I27+I28+I30)/-(I25-I33+0.0001)</f>
        <v>3.1580005857326254</v>
      </c>
      <c r="J38" s="22">
        <f>(J27+J28+J30)/-(J25-J33+0.0001)</f>
        <v>3.5939102888141603</v>
      </c>
      <c r="K38" s="22">
        <f>(K27+K28+K30)/-(K25-K33+0.0001)</f>
        <v>4.180282676603853</v>
      </c>
    </row>
    <row r="39" spans="1:11" x14ac:dyDescent="0.2">
      <c r="A39" s="44" t="s">
        <v>296</v>
      </c>
      <c r="G39">
        <f>-G27/(G25-G6)</f>
        <v>2.1290199925798885</v>
      </c>
      <c r="H39">
        <f>-H27/(H25-H6)</f>
        <v>2.3800461465312388</v>
      </c>
      <c r="I39">
        <f>-I27/(I25-I6)</f>
        <v>2.6809031799164296</v>
      </c>
      <c r="J39">
        <f>-J27/(J25-J6)</f>
        <v>2.9494385404399788</v>
      </c>
      <c r="K39">
        <f>-K27/(K25-K6)</f>
        <v>3.2730939018824263</v>
      </c>
    </row>
    <row r="40" spans="1:11" x14ac:dyDescent="0.2">
      <c r="A40" s="23" t="str">
        <f>IF(G37&gt;2.5,"CHECK OK: year-1 interest coverage &gt; 2.5x","CHECK: coverage tight — review leverage")</f>
        <v>CHECK OK: year-1 interest coverage &gt; 2.5x</v>
      </c>
    </row>
    <row r="42" spans="1:11" x14ac:dyDescent="0.2">
      <c r="A42" s="8" t="s">
        <v>297</v>
      </c>
    </row>
    <row r="43" spans="1:11" x14ac:dyDescent="0.2">
      <c r="A43" s="8" t="s">
        <v>298</v>
      </c>
    </row>
    <row r="44" spans="1:11" x14ac:dyDescent="0.2">
      <c r="A44" t="s">
        <v>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2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4" t="s">
        <v>301</v>
      </c>
      <c r="B3" s="7">
        <f>'06 Sources &amp; Uses'!B18</f>
        <v>4524.7510750000001</v>
      </c>
    </row>
    <row r="4" spans="1:14" x14ac:dyDescent="0.2">
      <c r="A4" s="4" t="s">
        <v>302</v>
      </c>
      <c r="B4" s="7">
        <f>'09 Operating Model'!K18</f>
        <v>1637.5579565154953</v>
      </c>
    </row>
    <row r="5" spans="1:14" x14ac:dyDescent="0.2">
      <c r="A5" s="4" t="s">
        <v>303</v>
      </c>
      <c r="B5" s="6">
        <f>'03 Assumptions'!F11</f>
        <v>11.5</v>
      </c>
    </row>
    <row r="6" spans="1:14" x14ac:dyDescent="0.2">
      <c r="A6" s="4" t="s">
        <v>304</v>
      </c>
      <c r="B6" s="18">
        <f>B4*B5</f>
        <v>18831.916499928197</v>
      </c>
    </row>
    <row r="7" spans="1:14" x14ac:dyDescent="0.2">
      <c r="A7" s="4" t="s">
        <v>305</v>
      </c>
      <c r="B7" s="7">
        <f>'08 Debt Schedule'!K19</f>
        <v>6439.3185671929486</v>
      </c>
    </row>
    <row r="8" spans="1:14" x14ac:dyDescent="0.2">
      <c r="A8" s="4" t="s">
        <v>306</v>
      </c>
      <c r="B8" s="18">
        <f>B6-B7</f>
        <v>12392.597932735247</v>
      </c>
    </row>
    <row r="9" spans="1:14" x14ac:dyDescent="0.2">
      <c r="A9" s="4" t="s">
        <v>307</v>
      </c>
      <c r="B9" s="19">
        <f>B8/B3</f>
        <v>2.7388463425549321</v>
      </c>
    </row>
    <row r="10" spans="1:14" x14ac:dyDescent="0.2">
      <c r="A10" s="4" t="s">
        <v>308</v>
      </c>
      <c r="B10" s="20">
        <f>'03 Assumptions'!B42</f>
        <v>5</v>
      </c>
    </row>
    <row r="11" spans="1:14" x14ac:dyDescent="0.2">
      <c r="A11" s="4" t="s">
        <v>309</v>
      </c>
      <c r="B11" s="21">
        <f>B9^(1/B10)-1</f>
        <v>0.22324523739252911</v>
      </c>
    </row>
    <row r="14" spans="1:14" x14ac:dyDescent="0.2">
      <c r="A14" s="3" t="s">
        <v>310</v>
      </c>
    </row>
    <row r="15" spans="1:14" x14ac:dyDescent="0.2">
      <c r="A15" s="8" t="s">
        <v>311</v>
      </c>
      <c r="B15" s="22">
        <v>1</v>
      </c>
    </row>
    <row r="16" spans="1:14" x14ac:dyDescent="0.2">
      <c r="A16" s="8" t="s">
        <v>312</v>
      </c>
      <c r="B16" s="22">
        <f>(B4-'03 Assumptions'!B16)*'07 Purchase Price'!B8/B3</f>
        <v>1.7225992344386094</v>
      </c>
    </row>
    <row r="17" spans="1:4" x14ac:dyDescent="0.2">
      <c r="A17" s="8" t="s">
        <v>313</v>
      </c>
      <c r="B17" s="22">
        <f>(B5-'07 Purchase Price'!B8)*B4/B3</f>
        <v>-0.20157845100287153</v>
      </c>
    </row>
    <row r="18" spans="1:4" x14ac:dyDescent="0.2">
      <c r="A18" s="8" t="s">
        <v>314</v>
      </c>
      <c r="B18" s="22">
        <f>('06 Sources &amp; Uses'!B13-'03 Assumptions'!B44-'08 Debt Schedule'!K19)/B3</f>
        <v>0.29517653782197123</v>
      </c>
    </row>
    <row r="19" spans="1:4" x14ac:dyDescent="0.2">
      <c r="A19" s="8" t="s">
        <v>315</v>
      </c>
      <c r="B19" s="22">
        <f>B9-B15-B16-B17-B18</f>
        <v>-7.7350978702777018E-2</v>
      </c>
    </row>
    <row r="20" spans="1:4" x14ac:dyDescent="0.2">
      <c r="A20" s="3" t="s">
        <v>316</v>
      </c>
      <c r="B20" s="22">
        <f>SUM(B15:B19)</f>
        <v>2.7388463425549321</v>
      </c>
    </row>
    <row r="21" spans="1:4" x14ac:dyDescent="0.2">
      <c r="A21" s="23" t="str">
        <f>IF(ABS(B20-B9)&lt;0.01,"CHECK OK: bridge ties to MOIC","ERROR: bridge broken")</f>
        <v>CHECK OK: bridge ties to MOIC</v>
      </c>
    </row>
    <row r="23" spans="1:4" x14ac:dyDescent="0.2">
      <c r="A23" s="3" t="s">
        <v>317</v>
      </c>
    </row>
    <row r="24" spans="1:4" x14ac:dyDescent="0.2">
      <c r="A24" s="8" t="s">
        <v>318</v>
      </c>
      <c r="B24" s="8" t="s">
        <v>104</v>
      </c>
      <c r="C24" s="8" t="s">
        <v>105</v>
      </c>
      <c r="D24" s="8" t="s">
        <v>106</v>
      </c>
    </row>
    <row r="25" spans="1:4" x14ac:dyDescent="0.2">
      <c r="A25" s="8" t="s">
        <v>319</v>
      </c>
      <c r="B25" s="16">
        <f>'03 Assumptions'!F11*'09 Operating Model'!I18-'08 Debt Schedule'!I19</f>
        <v>8503.3815889397283</v>
      </c>
      <c r="C25" s="16">
        <f>'03 Assumptions'!F11*'09 Operating Model'!J18-'08 Debt Schedule'!J19</f>
        <v>10165.035463104052</v>
      </c>
      <c r="D25" s="16">
        <f>'03 Assumptions'!F11*'09 Operating Model'!K18-'08 Debt Schedule'!K19</f>
        <v>12392.597932735247</v>
      </c>
    </row>
    <row r="26" spans="1:4" x14ac:dyDescent="0.2">
      <c r="A26" s="8" t="s">
        <v>307</v>
      </c>
      <c r="B26" s="22">
        <f>B25/'06 Sources &amp; Uses'!B18</f>
        <v>1.8793037336180374</v>
      </c>
      <c r="C26" s="22">
        <f>C25/'06 Sources &amp; Uses'!B18</f>
        <v>2.2465402614671022</v>
      </c>
      <c r="D26" s="22">
        <f>D25/'06 Sources &amp; Uses'!B18</f>
        <v>2.7388463425549321</v>
      </c>
    </row>
    <row r="27" spans="1:4" x14ac:dyDescent="0.2">
      <c r="A27" s="8" t="s">
        <v>320</v>
      </c>
      <c r="B27" s="14">
        <f>(B25/'06 Sources &amp; Uses'!B18)^(1/3)-1</f>
        <v>0.23404877577466587</v>
      </c>
      <c r="C27" s="14">
        <f>(C25/'06 Sources &amp; Uses'!B18)^(1/4)-1</f>
        <v>0.22427378888695282</v>
      </c>
      <c r="D27" s="14">
        <f>(D25/'06 Sources &amp; Uses'!B18)^(1/5)-1</f>
        <v>0.22324523739252911</v>
      </c>
    </row>
    <row r="29" spans="1:4" x14ac:dyDescent="0.2">
      <c r="A29" s="8" t="s">
        <v>321</v>
      </c>
    </row>
    <row r="31" spans="1:4" x14ac:dyDescent="0.2">
      <c r="A31" t="s">
        <v>322</v>
      </c>
    </row>
    <row r="32" spans="1:4" x14ac:dyDescent="0.2">
      <c r="A32" t="s">
        <v>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3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8" t="s">
        <v>325</v>
      </c>
    </row>
    <row r="3" spans="1:14" x14ac:dyDescent="0.2">
      <c r="A3" s="8" t="s">
        <v>326</v>
      </c>
    </row>
    <row r="5" spans="1:14" x14ac:dyDescent="0.2">
      <c r="A5" s="3" t="s">
        <v>327</v>
      </c>
    </row>
    <row r="6" spans="1:14" x14ac:dyDescent="0.2">
      <c r="C6" s="12" t="s">
        <v>104</v>
      </c>
      <c r="D6" s="12" t="s">
        <v>105</v>
      </c>
      <c r="E6" s="12" t="s">
        <v>106</v>
      </c>
    </row>
    <row r="7" spans="1:14" x14ac:dyDescent="0.2">
      <c r="B7" s="13">
        <v>9</v>
      </c>
      <c r="C7" s="14">
        <f>(($B7*'09 Operating Model'!$I$18-'08 Debt Schedule'!$I$19)/'06 Sources &amp; Uses'!$B$18)^(1/3)-1</f>
        <v>3.5099993671499963E-2</v>
      </c>
      <c r="D7" s="14">
        <f>(($B7*'09 Operating Model'!$J$18-'08 Debt Schedule'!$J$19)/'06 Sources &amp; Uses'!$B$18)^(1/4)-1</f>
        <v>8.98162388434669E-2</v>
      </c>
      <c r="E7" s="14">
        <f>(($B7*'09 Operating Model'!$K$18-'08 Debt Schedule'!$K$19)/'06 Sources &amp; Uses'!$B$18)^(1/5)-1</f>
        <v>0.12897183227542408</v>
      </c>
    </row>
    <row r="8" spans="1:14" x14ac:dyDescent="0.2">
      <c r="B8" s="13">
        <v>10</v>
      </c>
      <c r="C8" s="14">
        <f>(($B8*'09 Operating Model'!$I$18-'08 Debt Schedule'!$I$19)/'06 Sources &amp; Uses'!$B$18)^(1/3)-1</f>
        <v>0.12323708623738105</v>
      </c>
      <c r="D8" s="14">
        <f>(($B8*'09 Operating Model'!$J$18-'08 Debt Schedule'!$J$19)/'06 Sources &amp; Uses'!$B$18)^(1/4)-1</f>
        <v>0.149339913943213</v>
      </c>
      <c r="E8" s="14">
        <f>(($B8*'09 Operating Model'!$K$18-'08 Debt Schedule'!$K$19)/'06 Sources &amp; Uses'!$B$18)^(1/5)-1</f>
        <v>0.17037667990677385</v>
      </c>
    </row>
    <row r="9" spans="1:14" x14ac:dyDescent="0.2">
      <c r="B9" s="13">
        <v>11</v>
      </c>
      <c r="C9" s="14">
        <f>(($B9*'09 Operating Model'!$I$18-'08 Debt Schedule'!$I$19)/'06 Sources &amp; Uses'!$B$18)^(1/3)-1</f>
        <v>0.19936328201833087</v>
      </c>
      <c r="D9" s="14">
        <f>(($B9*'09 Operating Model'!$J$18-'08 Debt Schedule'!$J$19)/'06 Sources &amp; Uses'!$B$18)^(1/4)-1</f>
        <v>0.20083220658824419</v>
      </c>
      <c r="E9" s="14">
        <f>(($B9*'09 Operating Model'!$K$18-'08 Debt Schedule'!$K$19)/'06 Sources &amp; Uses'!$B$18)^(1/5)-1</f>
        <v>0.20663633389967262</v>
      </c>
    </row>
    <row r="10" spans="1:14" x14ac:dyDescent="0.2">
      <c r="B10" s="13">
        <v>11.5</v>
      </c>
      <c r="C10" s="14">
        <f>(($B10*'09 Operating Model'!$I$18-'08 Debt Schedule'!$I$19)/'06 Sources &amp; Uses'!$B$18)^(1/3)-1</f>
        <v>0.23404877577466587</v>
      </c>
      <c r="D10" s="14">
        <f>(($B10*'09 Operating Model'!$J$18-'08 Debt Schedule'!$J$19)/'06 Sources &amp; Uses'!$B$18)^(1/4)-1</f>
        <v>0.22427378888695282</v>
      </c>
      <c r="E10" s="14">
        <f>(($B10*'09 Operating Model'!$K$18-'08 Debt Schedule'!$K$19)/'06 Sources &amp; Uses'!$B$18)^(1/5)-1</f>
        <v>0.22324523739252911</v>
      </c>
    </row>
    <row r="11" spans="1:14" x14ac:dyDescent="0.2">
      <c r="B11" s="13">
        <v>12</v>
      </c>
      <c r="C11" s="14">
        <f>(($B11*'09 Operating Model'!$I$18-'08 Debt Schedule'!$I$19)/'06 Sources &amp; Uses'!$B$18)^(1/3)-1</f>
        <v>0.26688691923943408</v>
      </c>
      <c r="D11" s="14">
        <f>(($B11*'09 Operating Model'!$J$18-'08 Debt Schedule'!$J$19)/'06 Sources &amp; Uses'!$B$18)^(1/4)-1</f>
        <v>0.24644128904400042</v>
      </c>
      <c r="E11" s="14">
        <f>(($B11*'09 Operating Model'!$K$18-'08 Debt Schedule'!$K$19)/'06 Sources &amp; Uses'!$B$18)^(1/5)-1</f>
        <v>0.23899820785055015</v>
      </c>
    </row>
    <row r="12" spans="1:14" x14ac:dyDescent="0.2">
      <c r="B12" s="13">
        <v>12.9</v>
      </c>
      <c r="C12" s="14">
        <f>(($B12*'09 Operating Model'!$I$18-'08 Debt Schedule'!$I$19)/'06 Sources &amp; Uses'!$B$18)^(1/3)-1</f>
        <v>0.32204073735395777</v>
      </c>
      <c r="D12" s="14">
        <f>(($B12*'09 Operating Model'!$J$18-'08 Debt Schedule'!$J$19)/'06 Sources &amp; Uses'!$B$18)^(1/4)-1</f>
        <v>0.2835963175309677</v>
      </c>
      <c r="E12" s="14">
        <f>(($B12*'09 Operating Model'!$K$18-'08 Debt Schedule'!$K$19)/'06 Sources &amp; Uses'!$B$18)^(1/5)-1</f>
        <v>0.26548473542201734</v>
      </c>
    </row>
    <row r="13" spans="1:14" x14ac:dyDescent="0.2">
      <c r="B13" s="13">
        <v>14</v>
      </c>
      <c r="C13" s="14">
        <f>(($B13*'09 Operating Model'!$I$18-'08 Debt Schedule'!$I$19)/'06 Sources &amp; Uses'!$B$18)^(1/3)-1</f>
        <v>0.38375234015248516</v>
      </c>
      <c r="D13" s="14">
        <f>(($B13*'09 Operating Model'!$J$18-'08 Debt Schedule'!$J$19)/'06 Sources &amp; Uses'!$B$18)^(1/4)-1</f>
        <v>0.32502487199040742</v>
      </c>
      <c r="E13" s="14">
        <f>(($B13*'09 Operating Model'!$K$18-'08 Debt Schedule'!$K$19)/'06 Sources &amp; Uses'!$B$18)^(1/5)-1</f>
        <v>0.29511018033028091</v>
      </c>
    </row>
    <row r="16" spans="1:14" x14ac:dyDescent="0.2">
      <c r="A16" s="3" t="s">
        <v>328</v>
      </c>
    </row>
    <row r="17" spans="1:7" x14ac:dyDescent="0.2">
      <c r="A17" s="8" t="s">
        <v>329</v>
      </c>
      <c r="C17" s="15">
        <v>0.02</v>
      </c>
      <c r="D17" s="15">
        <v>0.04</v>
      </c>
      <c r="E17" s="15">
        <v>0.06</v>
      </c>
      <c r="F17" s="15">
        <v>0.08</v>
      </c>
      <c r="G17" s="15">
        <v>0.1</v>
      </c>
    </row>
    <row r="21" spans="1:7" x14ac:dyDescent="0.2">
      <c r="A21" s="8" t="s">
        <v>330</v>
      </c>
      <c r="C21" s="16">
        <f>'09 Operating Model'!$F$18*(1+C$17)^1</f>
        <v>1031.1950508</v>
      </c>
      <c r="D21" s="16">
        <f>'09 Operating Model'!$F$18*(1+D$17)^1</f>
        <v>1051.4145616000001</v>
      </c>
      <c r="E21" s="16">
        <f>'09 Operating Model'!$F$18*(1+E$17)^1</f>
        <v>1071.6340724000002</v>
      </c>
      <c r="F21" s="16">
        <f>'09 Operating Model'!$F$18*(1+F$17)^1</f>
        <v>1091.8535832</v>
      </c>
      <c r="G21" s="16">
        <f>'09 Operating Model'!$F$18*(1+G$17)^1</f>
        <v>1112.0730940000001</v>
      </c>
    </row>
    <row r="22" spans="1:7" x14ac:dyDescent="0.2">
      <c r="A22" s="8" t="s">
        <v>331</v>
      </c>
      <c r="C22" s="16">
        <f>'09 Operating Model'!$F$18*(1+C$17)^2</f>
        <v>1051.818951816</v>
      </c>
      <c r="D22" s="16">
        <f>'09 Operating Model'!$F$18*(1+D$17)^2</f>
        <v>1093.4711440640001</v>
      </c>
      <c r="E22" s="16">
        <f>'09 Operating Model'!$F$18*(1+E$17)^2</f>
        <v>1135.9321167440003</v>
      </c>
      <c r="F22" s="16">
        <f>'09 Operating Model'!$F$18*(1+F$17)^2</f>
        <v>1179.201869856</v>
      </c>
      <c r="G22" s="16">
        <f>'09 Operating Model'!$F$18*(1+G$17)^2</f>
        <v>1223.2804034000003</v>
      </c>
    </row>
    <row r="23" spans="1:7" x14ac:dyDescent="0.2">
      <c r="A23" s="8" t="s">
        <v>332</v>
      </c>
      <c r="C23" s="16">
        <f>'09 Operating Model'!$F$18*(1+C$17)^3</f>
        <v>1072.8553308523199</v>
      </c>
      <c r="D23" s="16">
        <f>'09 Operating Model'!$F$18*(1+D$17)^3</f>
        <v>1137.2099898265601</v>
      </c>
      <c r="E23" s="16">
        <f>'09 Operating Model'!$F$18*(1+E$17)^3</f>
        <v>1204.0880437486403</v>
      </c>
      <c r="F23" s="16">
        <f>'09 Operating Model'!$F$18*(1+F$17)^3</f>
        <v>1273.5380194444801</v>
      </c>
      <c r="G23" s="16">
        <f>'09 Operating Model'!$F$18*(1+G$17)^3</f>
        <v>1345.6084437400004</v>
      </c>
    </row>
    <row r="24" spans="1:7" x14ac:dyDescent="0.2">
      <c r="A24" s="8" t="s">
        <v>333</v>
      </c>
      <c r="C24" s="16">
        <f>'09 Operating Model'!$F$18*(1+C$17)^4</f>
        <v>1094.3124374693664</v>
      </c>
      <c r="D24" s="16">
        <f>'09 Operating Model'!$F$18*(1+D$17)^4</f>
        <v>1182.6983894196226</v>
      </c>
      <c r="E24" s="16">
        <f>'09 Operating Model'!$F$18*(1+E$17)^4</f>
        <v>1276.3333263735587</v>
      </c>
      <c r="F24" s="16">
        <f>'09 Operating Model'!$F$18*(1+F$17)^4</f>
        <v>1375.4210610000387</v>
      </c>
      <c r="G24" s="16">
        <f>'09 Operating Model'!$F$18*(1+G$17)^4</f>
        <v>1480.1692881140004</v>
      </c>
    </row>
    <row r="25" spans="1:7" x14ac:dyDescent="0.2">
      <c r="A25" s="8" t="s">
        <v>334</v>
      </c>
      <c r="C25" s="16">
        <f>'09 Operating Model'!$F$18*(1+C$17)^5</f>
        <v>1116.1986862187537</v>
      </c>
      <c r="D25" s="16">
        <f>'09 Operating Model'!$F$18*(1+D$17)^5</f>
        <v>1230.0063249964078</v>
      </c>
      <c r="E25" s="16">
        <f>'09 Operating Model'!$F$18*(1+E$17)^5</f>
        <v>1352.9133259559724</v>
      </c>
      <c r="F25" s="16">
        <f>'09 Operating Model'!$F$18*(1+F$17)^5</f>
        <v>1485.4547458800419</v>
      </c>
      <c r="G25" s="16">
        <f>'09 Operating Model'!$F$18*(1+G$17)^5</f>
        <v>1628.1862169254007</v>
      </c>
    </row>
    <row r="28" spans="1:7" x14ac:dyDescent="0.2">
      <c r="A28" s="8" t="s">
        <v>335</v>
      </c>
      <c r="C28" s="16">
        <f>C21+(('08 Debt Schedule'!G28+'08 Debt Schedule'!G29)*C21/'09 Operating Model'!G18)+(-'03 Assumptions'!$B$34*MAX(0,C21+('09 Operating Model'!G10*C21/'09 Operating Model'!G18)-MIN((('03 Assumptions'!$B$26+'03 Assumptions'!$B$27)*'06 Sources &amp; Uses'!$B$14+'03 Assumptions'!$B$28*'06 Sources &amp; Uses'!$B$15+'03 Assumptions'!$B$29*'06 Sources &amp; Uses'!$B$16+'03 Assumptions'!$B$30*'03 Assumptions'!$B$31),'03 Assumptions'!$B$45*C21)))-(('03 Assumptions'!$B$26+'03 Assumptions'!$B$27)*'06 Sources &amp; Uses'!$B$14+'03 Assumptions'!$B$28*'06 Sources &amp; Uses'!$B$15+'03 Assumptions'!$B$29*'06 Sources &amp; Uses'!$B$16+'03 Assumptions'!$B$30*'03 Assumptions'!$B$31)-'03 Assumptions'!$F$13</f>
        <v>-129.00912761621782</v>
      </c>
      <c r="D28" s="16">
        <f>D21+(('08 Debt Schedule'!G28+'08 Debt Schedule'!G29)*D21/'09 Operating Model'!G18)+(-'03 Assumptions'!$B$34*MAX(0,D21+('09 Operating Model'!G10*D21/'09 Operating Model'!G18)-MIN((('03 Assumptions'!$B$26+'03 Assumptions'!$B$27)*'06 Sources &amp; Uses'!$B$14+'03 Assumptions'!$B$28*'06 Sources &amp; Uses'!$B$15+'03 Assumptions'!$B$29*'06 Sources &amp; Uses'!$B$16+'03 Assumptions'!$B$30*'03 Assumptions'!$B$31),'03 Assumptions'!$B$45*D21)))-(('03 Assumptions'!$B$26+'03 Assumptions'!$B$27)*'06 Sources &amp; Uses'!$B$14+'03 Assumptions'!$B$28*'06 Sources &amp; Uses'!$B$15+'03 Assumptions'!$B$29*'06 Sources &amp; Uses'!$B$16+'03 Assumptions'!$B$30*'03 Assumptions'!$B$31)-'03 Assumptions'!$F$13</f>
        <v>-112.66839243239292</v>
      </c>
      <c r="E28" s="16">
        <f>E21+(('08 Debt Schedule'!G28+'08 Debt Schedule'!G29)*E21/'09 Operating Model'!G18)+(-'03 Assumptions'!$B$34*MAX(0,E21+('09 Operating Model'!G10*E21/'09 Operating Model'!G18)-MIN((('03 Assumptions'!$B$26+'03 Assumptions'!$B$27)*'06 Sources &amp; Uses'!$B$14+'03 Assumptions'!$B$28*'06 Sources &amp; Uses'!$B$15+'03 Assumptions'!$B$29*'06 Sources &amp; Uses'!$B$16+'03 Assumptions'!$B$30*'03 Assumptions'!$B$31),'03 Assumptions'!$B$45*E21)))-(('03 Assumptions'!$B$26+'03 Assumptions'!$B$27)*'06 Sources &amp; Uses'!$B$14+'03 Assumptions'!$B$28*'06 Sources &amp; Uses'!$B$15+'03 Assumptions'!$B$29*'06 Sources &amp; Uses'!$B$16+'03 Assumptions'!$B$30*'03 Assumptions'!$B$31)-'03 Assumptions'!$F$13</f>
        <v>-96.327657248568244</v>
      </c>
      <c r="F28" s="16">
        <f>F21+(('08 Debt Schedule'!G28+'08 Debt Schedule'!G29)*F21/'09 Operating Model'!G18)+(-'03 Assumptions'!$B$34*MAX(0,F21+('09 Operating Model'!G10*F21/'09 Operating Model'!G18)-MIN((('03 Assumptions'!$B$26+'03 Assumptions'!$B$27)*'06 Sources &amp; Uses'!$B$14+'03 Assumptions'!$B$28*'06 Sources &amp; Uses'!$B$15+'03 Assumptions'!$B$29*'06 Sources &amp; Uses'!$B$16+'03 Assumptions'!$B$30*'03 Assumptions'!$B$31),'03 Assumptions'!$B$45*F21)))-(('03 Assumptions'!$B$26+'03 Assumptions'!$B$27)*'06 Sources &amp; Uses'!$B$14+'03 Assumptions'!$B$28*'06 Sources &amp; Uses'!$B$15+'03 Assumptions'!$B$29*'06 Sources &amp; Uses'!$B$16+'03 Assumptions'!$B$30*'03 Assumptions'!$B$31)-'03 Assumptions'!$F$13</f>
        <v>-79.986922064743567</v>
      </c>
      <c r="G28" s="16">
        <f>G21+(('08 Debt Schedule'!G28+'08 Debt Schedule'!G29)*G21/'09 Operating Model'!G18)+(-'03 Assumptions'!$B$34*MAX(0,G21+('09 Operating Model'!G10*G21/'09 Operating Model'!G18)-MIN((('03 Assumptions'!$B$26+'03 Assumptions'!$B$27)*'06 Sources &amp; Uses'!$B$14+'03 Assumptions'!$B$28*'06 Sources &amp; Uses'!$B$15+'03 Assumptions'!$B$29*'06 Sources &amp; Uses'!$B$16+'03 Assumptions'!$B$30*'03 Assumptions'!$B$31),'03 Assumptions'!$B$45*G21)))-(('03 Assumptions'!$B$26+'03 Assumptions'!$B$27)*'06 Sources &amp; Uses'!$B$14+'03 Assumptions'!$B$28*'06 Sources &amp; Uses'!$B$15+'03 Assumptions'!$B$29*'06 Sources &amp; Uses'!$B$16+'03 Assumptions'!$B$30*'03 Assumptions'!$B$31)-'03 Assumptions'!$F$13</f>
        <v>-63.646186880918663</v>
      </c>
    </row>
    <row r="29" spans="1:7" x14ac:dyDescent="0.2">
      <c r="A29" s="8" t="s">
        <v>336</v>
      </c>
      <c r="C29" s="16">
        <f>C22+(('08 Debt Schedule'!H28+'08 Debt Schedule'!H29)*C22/'09 Operating Model'!H18)+(-'03 Assumptions'!$B$34*MAX(0,C22+('09 Operating Model'!H10*C22/'09 Operating Model'!H18)-MIN((('03 Assumptions'!$B$26+'03 Assumptions'!$B$27)*C35+'03 Assumptions'!$B$28*C42+'03 Assumptions'!$B$29*'06 Sources &amp; Uses'!$B$16+'03 Assumptions'!$B$30*'03 Assumptions'!$B$31),'03 Assumptions'!$B$45*C22)))-(('03 Assumptions'!$B$26+'03 Assumptions'!$B$27)*C35+'03 Assumptions'!$B$28*C42+'03 Assumptions'!$B$29*'06 Sources &amp; Uses'!$B$16+'03 Assumptions'!$B$30*'03 Assumptions'!$B$31)-'03 Assumptions'!$F$13</f>
        <v>-106.7372311806987</v>
      </c>
      <c r="D29" s="16">
        <f>D22+(('08 Debt Schedule'!H28+'08 Debt Schedule'!H29)*D22/'09 Operating Model'!H18)+(-'03 Assumptions'!$B$34*MAX(0,D22+('09 Operating Model'!H10*D22/'09 Operating Model'!H18)-MIN((('03 Assumptions'!$B$26+'03 Assumptions'!$B$27)*D35+'03 Assumptions'!$B$28*D42+'03 Assumptions'!$B$29*'06 Sources &amp; Uses'!$B$16+'03 Assumptions'!$B$30*'03 Assumptions'!$B$31),'03 Assumptions'!$B$45*D22)))-(('03 Assumptions'!$B$26+'03 Assumptions'!$B$27)*D35+'03 Assumptions'!$B$28*D42+'03 Assumptions'!$B$29*'06 Sources &amp; Uses'!$B$16+'03 Assumptions'!$B$30*'03 Assumptions'!$B$31)-'03 Assumptions'!$F$13</f>
        <v>-73.075297680952644</v>
      </c>
      <c r="E29" s="16">
        <f>E22+(('08 Debt Schedule'!H28+'08 Debt Schedule'!H29)*E22/'09 Operating Model'!H18)+(-'03 Assumptions'!$B$34*MAX(0,E22+('09 Operating Model'!H10*E22/'09 Operating Model'!H18)-MIN((('03 Assumptions'!$B$26+'03 Assumptions'!$B$27)*E35+'03 Assumptions'!$B$28*E42+'03 Assumptions'!$B$29*'06 Sources &amp; Uses'!$B$16+'03 Assumptions'!$B$30*'03 Assumptions'!$B$31),'03 Assumptions'!$B$45*E22)))-(('03 Assumptions'!$B$26+'03 Assumptions'!$B$27)*E35+'03 Assumptions'!$B$28*E42+'03 Assumptions'!$B$29*'06 Sources &amp; Uses'!$B$16+'03 Assumptions'!$B$30*'03 Assumptions'!$B$31)-'03 Assumptions'!$F$13</f>
        <v>-38.759734404512415</v>
      </c>
      <c r="F29" s="16">
        <f>F22+(('08 Debt Schedule'!H28+'08 Debt Schedule'!H29)*F22/'09 Operating Model'!H18)+(-'03 Assumptions'!$B$34*MAX(0,F22+('09 Operating Model'!H10*F22/'09 Operating Model'!H18)-MIN((('03 Assumptions'!$B$26+'03 Assumptions'!$B$27)*F35+'03 Assumptions'!$B$28*F42+'03 Assumptions'!$B$29*'06 Sources &amp; Uses'!$B$16+'03 Assumptions'!$B$30*'03 Assumptions'!$B$31),'03 Assumptions'!$B$45*F22)))-(('03 Assumptions'!$B$26+'03 Assumptions'!$B$27)*F35+'03 Assumptions'!$B$28*F42+'03 Assumptions'!$B$29*'06 Sources &amp; Uses'!$B$16+'03 Assumptions'!$B$30*'03 Assumptions'!$B$31)-'03 Assumptions'!$F$13</f>
        <v>-3.7905413513784652</v>
      </c>
      <c r="G29" s="16">
        <f>G22+(('08 Debt Schedule'!H28+'08 Debt Schedule'!H29)*G22/'09 Operating Model'!H18)+(-'03 Assumptions'!$B$34*MAX(0,G22+('09 Operating Model'!H10*G22/'09 Operating Model'!H18)-MIN((('03 Assumptions'!$B$26+'03 Assumptions'!$B$27)*G35+'03 Assumptions'!$B$28*G42+'03 Assumptions'!$B$29*'06 Sources &amp; Uses'!$B$16+'03 Assumptions'!$B$30*'03 Assumptions'!$B$31),'03 Assumptions'!$B$45*G22)))-(('03 Assumptions'!$B$26+'03 Assumptions'!$B$27)*G35+'03 Assumptions'!$B$28*G42+'03 Assumptions'!$B$29*'06 Sources &amp; Uses'!$B$16+'03 Assumptions'!$B$30*'03 Assumptions'!$B$31)-'03 Assumptions'!$F$13</f>
        <v>31.832281478449886</v>
      </c>
    </row>
    <row r="30" spans="1:7" x14ac:dyDescent="0.2">
      <c r="A30" s="8" t="s">
        <v>337</v>
      </c>
      <c r="C30" s="16">
        <f>C23+(('08 Debt Schedule'!I28+'08 Debt Schedule'!I29)*C23/'09 Operating Model'!I18)+(-'03 Assumptions'!$B$34*MAX(0,C23+('09 Operating Model'!I10*C23/'09 Operating Model'!I18)-MIN((('03 Assumptions'!$B$26+'03 Assumptions'!$B$27)*C36+'03 Assumptions'!$B$28*C43+'03 Assumptions'!$B$29*'06 Sources &amp; Uses'!$B$16+'03 Assumptions'!$B$30*'03 Assumptions'!$B$31),'03 Assumptions'!$B$45*C23)))-(('03 Assumptions'!$B$26+'03 Assumptions'!$B$27)*C36+'03 Assumptions'!$B$28*C43+'03 Assumptions'!$B$29*'06 Sources &amp; Uses'!$B$16+'03 Assumptions'!$B$30*'03 Assumptions'!$B$31)-'03 Assumptions'!$F$13</f>
        <v>-84.262402766741161</v>
      </c>
      <c r="D30" s="16">
        <f>D23+(('08 Debt Schedule'!I28+'08 Debt Schedule'!I29)*D23/'09 Operating Model'!I18)+(-'03 Assumptions'!$B$34*MAX(0,D23+('09 Operating Model'!I10*D23/'09 Operating Model'!I18)-MIN((('03 Assumptions'!$B$26+'03 Assumptions'!$B$27)*D36+'03 Assumptions'!$B$28*D43+'03 Assumptions'!$B$29*'06 Sources &amp; Uses'!$B$16+'03 Assumptions'!$B$30*'03 Assumptions'!$B$31),'03 Assumptions'!$B$45*D23)))-(('03 Assumptions'!$B$26+'03 Assumptions'!$B$27)*D36+'03 Assumptions'!$B$28*D43+'03 Assumptions'!$B$29*'06 Sources &amp; Uses'!$B$16+'03 Assumptions'!$B$30*'03 Assumptions'!$B$31)-'03 Assumptions'!$F$13</f>
        <v>-32.260876315029577</v>
      </c>
      <c r="E30" s="16">
        <f>E23+(('08 Debt Schedule'!I28+'08 Debt Schedule'!I29)*E23/'09 Operating Model'!I18)+(-'03 Assumptions'!$B$34*MAX(0,E23+('09 Operating Model'!I10*E23/'09 Operating Model'!I18)-MIN((('03 Assumptions'!$B$26+'03 Assumptions'!$B$27)*E36+'03 Assumptions'!$B$28*E43+'03 Assumptions'!$B$29*'06 Sources &amp; Uses'!$B$16+'03 Assumptions'!$B$30*'03 Assumptions'!$B$31),'03 Assumptions'!$B$45*E23)))-(('03 Assumptions'!$B$26+'03 Assumptions'!$B$27)*E36+'03 Assumptions'!$B$28*E43+'03 Assumptions'!$B$29*'06 Sources &amp; Uses'!$B$16+'03 Assumptions'!$B$30*'03 Assumptions'!$B$31)-'03 Assumptions'!$F$13</f>
        <v>21.779669396822214</v>
      </c>
      <c r="F30" s="16">
        <f>F23+(('08 Debt Schedule'!I28+'08 Debt Schedule'!I29)*F23/'09 Operating Model'!I18)+(-'03 Assumptions'!$B$34*MAX(0,F23+('09 Operating Model'!I10*F23/'09 Operating Model'!I18)-MIN((('03 Assumptions'!$B$26+'03 Assumptions'!$B$27)*F36+'03 Assumptions'!$B$28*F43+'03 Assumptions'!$B$29*'06 Sources &amp; Uses'!$B$16+'03 Assumptions'!$B$30*'03 Assumptions'!$B$31),'03 Assumptions'!$B$45*F23)))-(('03 Assumptions'!$B$26+'03 Assumptions'!$B$27)*F36+'03 Assumptions'!$B$28*F43+'03 Assumptions'!$B$29*'06 Sources &amp; Uses'!$B$16+'03 Assumptions'!$B$30*'03 Assumptions'!$B$31)-'03 Assumptions'!$F$13</f>
        <v>77.898446277662288</v>
      </c>
      <c r="G30" s="16">
        <f>G23+(('08 Debt Schedule'!I28+'08 Debt Schedule'!I29)*G23/'09 Operating Model'!I18)+(-'03 Assumptions'!$B$34*MAX(0,G23+('09 Operating Model'!I10*G23/'09 Operating Model'!I18)-MIN((('03 Assumptions'!$B$26+'03 Assumptions'!$B$27)*G36+'03 Assumptions'!$B$28*G43+'03 Assumptions'!$B$29*'06 Sources &amp; Uses'!$B$16+'03 Assumptions'!$B$30*'03 Assumptions'!$B$31),'03 Assumptions'!$B$45*G23)))-(('03 Assumptions'!$B$26+'03 Assumptions'!$B$27)*G36+'03 Assumptions'!$B$28*G43+'03 Assumptions'!$B$29*'06 Sources &amp; Uses'!$B$16+'03 Assumptions'!$B$30*'03 Assumptions'!$B$31)-'03 Assumptions'!$F$13</f>
        <v>136.13466623634076</v>
      </c>
    </row>
    <row r="31" spans="1:7" x14ac:dyDescent="0.2">
      <c r="A31" s="8" t="s">
        <v>338</v>
      </c>
      <c r="C31" s="16">
        <f>C24+(('08 Debt Schedule'!J28+'08 Debt Schedule'!J29)*C24/'09 Operating Model'!J18)+(-'03 Assumptions'!$B$34*MAX(0,C24+('09 Operating Model'!J10*C24/'09 Operating Model'!J18)-MIN((('03 Assumptions'!$B$26+'03 Assumptions'!$B$27)*C37+'03 Assumptions'!$B$28*C44+'03 Assumptions'!$B$29*'06 Sources &amp; Uses'!$B$16+'03 Assumptions'!$B$30*'03 Assumptions'!$B$31),'03 Assumptions'!$B$45*C24)))-(('03 Assumptions'!$B$26+'03 Assumptions'!$B$27)*C37+'03 Assumptions'!$B$28*C44+'03 Assumptions'!$B$29*'06 Sources &amp; Uses'!$B$16+'03 Assumptions'!$B$30*'03 Assumptions'!$B$31)-'03 Assumptions'!$F$13</f>
        <v>-52.621832738997341</v>
      </c>
      <c r="D31" s="16">
        <f>D24+(('08 Debt Schedule'!J28+'08 Debt Schedule'!J29)*D24/'09 Operating Model'!J18)+(-'03 Assumptions'!$B$34*MAX(0,D24+('09 Operating Model'!J10*D24/'09 Operating Model'!J18)-MIN((('03 Assumptions'!$B$26+'03 Assumptions'!$B$27)*D37+'03 Assumptions'!$B$28*D44+'03 Assumptions'!$B$29*'06 Sources &amp; Uses'!$B$16+'03 Assumptions'!$B$30*'03 Assumptions'!$B$31),'03 Assumptions'!$B$45*D24)))-(('03 Assumptions'!$B$26+'03 Assumptions'!$B$27)*D37+'03 Assumptions'!$B$28*D44+'03 Assumptions'!$B$29*'06 Sources &amp; Uses'!$B$16+'03 Assumptions'!$B$30*'03 Assumptions'!$B$31)-'03 Assumptions'!$F$13</f>
        <v>19.500638956614921</v>
      </c>
      <c r="E31" s="16">
        <f>E24+(('08 Debt Schedule'!J28+'08 Debt Schedule'!J29)*E24/'09 Operating Model'!J18)+(-'03 Assumptions'!$B$34*MAX(0,E24+('09 Operating Model'!J10*E24/'09 Operating Model'!J18)-MIN((('03 Assumptions'!$B$26+'03 Assumptions'!$B$27)*E37+'03 Assumptions'!$B$28*E44+'03 Assumptions'!$B$29*'06 Sources &amp; Uses'!$B$16+'03 Assumptions'!$B$30*'03 Assumptions'!$B$31),'03 Assumptions'!$B$45*E24)))-(('03 Assumptions'!$B$26+'03 Assumptions'!$B$27)*E37+'03 Assumptions'!$B$28*E44+'03 Assumptions'!$B$29*'06 Sources &amp; Uses'!$B$16+'03 Assumptions'!$B$30*'03 Assumptions'!$B$31)-'03 Assumptions'!$F$13</f>
        <v>95.906254794541155</v>
      </c>
      <c r="F31" s="16">
        <f>F24+(('08 Debt Schedule'!J28+'08 Debt Schedule'!J29)*F24/'09 Operating Model'!J18)+(-'03 Assumptions'!$B$34*MAX(0,F24+('09 Operating Model'!J10*F24/'09 Operating Model'!J18)-MIN((('03 Assumptions'!$B$26+'03 Assumptions'!$B$27)*F37+'03 Assumptions'!$B$28*F44+'03 Assumptions'!$B$29*'06 Sources &amp; Uses'!$B$16+'03 Assumptions'!$B$30*'03 Assumptions'!$B$31),'03 Assumptions'!$B$45*F24)))-(('03 Assumptions'!$B$26+'03 Assumptions'!$B$27)*F37+'03 Assumptions'!$B$28*F44+'03 Assumptions'!$B$29*'06 Sources &amp; Uses'!$B$16+'03 Assumptions'!$B$30*'03 Assumptions'!$B$31)-'03 Assumptions'!$F$13</f>
        <v>176.7613248400919</v>
      </c>
      <c r="G31" s="16">
        <f>G24+(('08 Debt Schedule'!J28+'08 Debt Schedule'!J29)*G24/'09 Operating Model'!J18)+(-'03 Assumptions'!$B$34*MAX(0,G24+('09 Operating Model'!J10*G24/'09 Operating Model'!J18)-MIN((('03 Assumptions'!$B$26+'03 Assumptions'!$B$27)*G37+'03 Assumptions'!$B$28*G44+'03 Assumptions'!$B$29*'06 Sources &amp; Uses'!$B$16+'03 Assumptions'!$B$30*'03 Assumptions'!$B$31),'03 Assumptions'!$B$45*G24)))-(('03 Assumptions'!$B$26+'03 Assumptions'!$B$27)*G37+'03 Assumptions'!$B$28*G44+'03 Assumptions'!$B$29*'06 Sources &amp; Uses'!$B$16+'03 Assumptions'!$B$30*'03 Assumptions'!$B$31)-'03 Assumptions'!$F$13</f>
        <v>265.50462737362068</v>
      </c>
    </row>
    <row r="32" spans="1:7" x14ac:dyDescent="0.2">
      <c r="A32" s="8" t="s">
        <v>339</v>
      </c>
      <c r="C32" s="16">
        <f>C25+(('08 Debt Schedule'!K28+'08 Debt Schedule'!K29)*C25/'09 Operating Model'!K18)+(-'03 Assumptions'!$B$34*MAX(0,C25+('09 Operating Model'!K10*C25/'09 Operating Model'!K18)-MIN((('03 Assumptions'!$B$26+'03 Assumptions'!$B$27)*C38+'03 Assumptions'!$B$28*C45+'03 Assumptions'!$B$29*'06 Sources &amp; Uses'!$B$16+'03 Assumptions'!$B$30*'03 Assumptions'!$B$31),'03 Assumptions'!$B$45*C25)))-(('03 Assumptions'!$B$26+'03 Assumptions'!$B$27)*C38+'03 Assumptions'!$B$28*C45+'03 Assumptions'!$B$29*'06 Sources &amp; Uses'!$B$16+'03 Assumptions'!$B$30*'03 Assumptions'!$B$31)-'03 Assumptions'!$F$13</f>
        <v>-29.166990152251515</v>
      </c>
      <c r="D32" s="16">
        <f>D25+(('08 Debt Schedule'!K28+'08 Debt Schedule'!K29)*D25/'09 Operating Model'!K18)+(-'03 Assumptions'!$B$34*MAX(0,D25+('09 Operating Model'!K10*D25/'09 Operating Model'!K18)-MIN((('03 Assumptions'!$B$26+'03 Assumptions'!$B$27)*D38+'03 Assumptions'!$B$28*D45+'03 Assumptions'!$B$29*'06 Sources &amp; Uses'!$B$16+'03 Assumptions'!$B$30*'03 Assumptions'!$B$31),'03 Assumptions'!$B$45*D25)))-(('03 Assumptions'!$B$26+'03 Assumptions'!$B$27)*D38+'03 Assumptions'!$B$28*D45+'03 Assumptions'!$B$29*'06 Sources &amp; Uses'!$B$16+'03 Assumptions'!$B$30*'03 Assumptions'!$B$31)-'03 Assumptions'!$F$13</f>
        <v>63.69861962699224</v>
      </c>
      <c r="E32" s="16">
        <f>E25+(('08 Debt Schedule'!K28+'08 Debt Schedule'!K29)*E25/'09 Operating Model'!K18)+(-'03 Assumptions'!$B$34*MAX(0,E25+('09 Operating Model'!K10*E25/'09 Operating Model'!K18)-MIN((('03 Assumptions'!$B$26+'03 Assumptions'!$B$27)*E38+'03 Assumptions'!$B$28*E45+'03 Assumptions'!$B$29*'06 Sources &amp; Uses'!$B$16+'03 Assumptions'!$B$30*'03 Assumptions'!$B$31),'03 Assumptions'!$B$45*E25)))-(('03 Assumptions'!$B$26+'03 Assumptions'!$B$27)*E38+'03 Assumptions'!$B$28*E45+'03 Assumptions'!$B$29*'06 Sources &amp; Uses'!$B$16+'03 Assumptions'!$B$30*'03 Assumptions'!$B$31)-'03 Assumptions'!$F$13</f>
        <v>164.90513347019089</v>
      </c>
      <c r="F32" s="16">
        <f>F25+(('08 Debt Schedule'!K28+'08 Debt Schedule'!K29)*F25/'09 Operating Model'!K18)+(-'03 Assumptions'!$B$34*MAX(0,F25+('09 Operating Model'!K10*F25/'09 Operating Model'!K18)-MIN((('03 Assumptions'!$B$26+'03 Assumptions'!$B$27)*F38+'03 Assumptions'!$B$28*F45+'03 Assumptions'!$B$29*'06 Sources &amp; Uses'!$B$16+'03 Assumptions'!$B$30*'03 Assumptions'!$B$31),'03 Assumptions'!$B$45*F25)))-(('03 Assumptions'!$B$26+'03 Assumptions'!$B$27)*F38+'03 Assumptions'!$B$28*F45+'03 Assumptions'!$B$29*'06 Sources &amp; Uses'!$B$16+'03 Assumptions'!$B$30*'03 Assumptions'!$B$31)-'03 Assumptions'!$F$13</f>
        <v>277.78729594745596</v>
      </c>
      <c r="G32" s="16">
        <f>G25+(('08 Debt Schedule'!K28+'08 Debt Schedule'!K29)*G25/'09 Operating Model'!K18)+(-'03 Assumptions'!$B$34*MAX(0,G25+('09 Operating Model'!K10*G25/'09 Operating Model'!K18)-MIN((('03 Assumptions'!$B$26+'03 Assumptions'!$B$27)*G38+'03 Assumptions'!$B$28*G45+'03 Assumptions'!$B$29*'06 Sources &amp; Uses'!$B$16+'03 Assumptions'!$B$30*'03 Assumptions'!$B$31),'03 Assumptions'!$B$45*G25)))-(('03 Assumptions'!$B$26+'03 Assumptions'!$B$27)*G38+'03 Assumptions'!$B$28*G45+'03 Assumptions'!$B$29*'06 Sources &amp; Uses'!$B$16+'03 Assumptions'!$B$30*'03 Assumptions'!$B$31)-'03 Assumptions'!$F$13</f>
        <v>402.71517469117225</v>
      </c>
    </row>
    <row r="35" spans="1:7" x14ac:dyDescent="0.2">
      <c r="A35" s="8" t="s">
        <v>340</v>
      </c>
      <c r="C35" s="16">
        <f>'06 Sources &amp; Uses'!$B$14-MIN('06 Sources &amp; Uses'!$B$14,'06 Sources &amp; Uses'!$B$14*'03 Assumptions'!$B$38)-MIN('06 Sources &amp; Uses'!$B$14-MIN('06 Sources &amp; Uses'!$B$14,'06 Sources &amp; Uses'!$B$14*'03 Assumptions'!$B$38),MAX(0,C28-MIN('06 Sources &amp; Uses'!$B$14,'06 Sources &amp; Uses'!$B$14*'03 Assumptions'!$B$38)-MIN('06 Sources &amp; Uses'!$B$15,'06 Sources &amp; Uses'!$B$15*'03 Assumptions'!$B$38)))</f>
        <v>1514.7</v>
      </c>
      <c r="D35" s="16">
        <f>'06 Sources &amp; Uses'!$B$14-MIN('06 Sources &amp; Uses'!$B$14,'06 Sources &amp; Uses'!$B$14*'03 Assumptions'!$B$38)-MIN('06 Sources &amp; Uses'!$B$14-MIN('06 Sources &amp; Uses'!$B$14,'06 Sources &amp; Uses'!$B$14*'03 Assumptions'!$B$38),MAX(0,D28-MIN('06 Sources &amp; Uses'!$B$14,'06 Sources &amp; Uses'!$B$14*'03 Assumptions'!$B$38)-MIN('06 Sources &amp; Uses'!$B$15,'06 Sources &amp; Uses'!$B$15*'03 Assumptions'!$B$38)))</f>
        <v>1514.7</v>
      </c>
      <c r="E35" s="16">
        <f>'06 Sources &amp; Uses'!$B$14-MIN('06 Sources &amp; Uses'!$B$14,'06 Sources &amp; Uses'!$B$14*'03 Assumptions'!$B$38)-MIN('06 Sources &amp; Uses'!$B$14-MIN('06 Sources &amp; Uses'!$B$14,'06 Sources &amp; Uses'!$B$14*'03 Assumptions'!$B$38),MAX(0,E28-MIN('06 Sources &amp; Uses'!$B$14,'06 Sources &amp; Uses'!$B$14*'03 Assumptions'!$B$38)-MIN('06 Sources &amp; Uses'!$B$15,'06 Sources &amp; Uses'!$B$15*'03 Assumptions'!$B$38)))</f>
        <v>1514.7</v>
      </c>
      <c r="F35" s="16">
        <f>'06 Sources &amp; Uses'!$B$14-MIN('06 Sources &amp; Uses'!$B$14,'06 Sources &amp; Uses'!$B$14*'03 Assumptions'!$B$38)-MIN('06 Sources &amp; Uses'!$B$14-MIN('06 Sources &amp; Uses'!$B$14,'06 Sources &amp; Uses'!$B$14*'03 Assumptions'!$B$38),MAX(0,F28-MIN('06 Sources &amp; Uses'!$B$14,'06 Sources &amp; Uses'!$B$14*'03 Assumptions'!$B$38)-MIN('06 Sources &amp; Uses'!$B$15,'06 Sources &amp; Uses'!$B$15*'03 Assumptions'!$B$38)))</f>
        <v>1514.7</v>
      </c>
      <c r="G35" s="16">
        <f>'06 Sources &amp; Uses'!$B$14-MIN('06 Sources &amp; Uses'!$B$14,'06 Sources &amp; Uses'!$B$14*'03 Assumptions'!$B$38)-MIN('06 Sources &amp; Uses'!$B$14-MIN('06 Sources &amp; Uses'!$B$14,'06 Sources &amp; Uses'!$B$14*'03 Assumptions'!$B$38),MAX(0,G28-MIN('06 Sources &amp; Uses'!$B$14,'06 Sources &amp; Uses'!$B$14*'03 Assumptions'!$B$38)-MIN('06 Sources &amp; Uses'!$B$15,'06 Sources &amp; Uses'!$B$15*'03 Assumptions'!$B$38)))</f>
        <v>1514.7</v>
      </c>
    </row>
    <row r="36" spans="1:7" x14ac:dyDescent="0.2">
      <c r="A36" s="8" t="s">
        <v>341</v>
      </c>
      <c r="C36" s="16">
        <f>C35-MIN(C35,'06 Sources &amp; Uses'!$B$14*'03 Assumptions'!$B$38)-MIN(C35-MIN(C35,'06 Sources &amp; Uses'!$B$14*'03 Assumptions'!$B$38),MAX(0,C29-MIN(C35,'06 Sources &amp; Uses'!$B$14*'03 Assumptions'!$B$38)-MIN(C42,'06 Sources &amp; Uses'!$B$15*'03 Assumptions'!$B$38)))</f>
        <v>1499.4</v>
      </c>
      <c r="D36" s="16">
        <f>D35-MIN(D35,'06 Sources &amp; Uses'!$B$14*'03 Assumptions'!$B$38)-MIN(D35-MIN(D35,'06 Sources &amp; Uses'!$B$14*'03 Assumptions'!$B$38),MAX(0,D29-MIN(D35,'06 Sources &amp; Uses'!$B$14*'03 Assumptions'!$B$38)-MIN(D42,'06 Sources &amp; Uses'!$B$15*'03 Assumptions'!$B$38)))</f>
        <v>1499.4</v>
      </c>
      <c r="E36" s="16">
        <f>E35-MIN(E35,'06 Sources &amp; Uses'!$B$14*'03 Assumptions'!$B$38)-MIN(E35-MIN(E35,'06 Sources &amp; Uses'!$B$14*'03 Assumptions'!$B$38),MAX(0,E29-MIN(E35,'06 Sources &amp; Uses'!$B$14*'03 Assumptions'!$B$38)-MIN(E42,'06 Sources &amp; Uses'!$B$15*'03 Assumptions'!$B$38)))</f>
        <v>1499.4</v>
      </c>
      <c r="F36" s="16">
        <f>F35-MIN(F35,'06 Sources &amp; Uses'!$B$14*'03 Assumptions'!$B$38)-MIN(F35-MIN(F35,'06 Sources &amp; Uses'!$B$14*'03 Assumptions'!$B$38),MAX(0,F29-MIN(F35,'06 Sources &amp; Uses'!$B$14*'03 Assumptions'!$B$38)-MIN(F42,'06 Sources &amp; Uses'!$B$15*'03 Assumptions'!$B$38)))</f>
        <v>1499.4</v>
      </c>
      <c r="G36" s="16">
        <f>G35-MIN(G35,'06 Sources &amp; Uses'!$B$14*'03 Assumptions'!$B$38)-MIN(G35-MIN(G35,'06 Sources &amp; Uses'!$B$14*'03 Assumptions'!$B$38),MAX(0,G29-MIN(G35,'06 Sources &amp; Uses'!$B$14*'03 Assumptions'!$B$38)-MIN(G42,'06 Sources &amp; Uses'!$B$15*'03 Assumptions'!$B$38)))</f>
        <v>1499.4</v>
      </c>
    </row>
    <row r="37" spans="1:7" x14ac:dyDescent="0.2">
      <c r="A37" s="8" t="s">
        <v>342</v>
      </c>
      <c r="C37" s="16">
        <f>C36-MIN(C36,'06 Sources &amp; Uses'!$B$14*'03 Assumptions'!$B$38)-MIN(C36-MIN(C36,'06 Sources &amp; Uses'!$B$14*'03 Assumptions'!$B$38),MAX(0,C30-MIN(C36,'06 Sources &amp; Uses'!$B$14*'03 Assumptions'!$B$38)-MIN(C43,'06 Sources &amp; Uses'!$B$15*'03 Assumptions'!$B$38)))</f>
        <v>1484.1000000000001</v>
      </c>
      <c r="D37" s="16">
        <f>D36-MIN(D36,'06 Sources &amp; Uses'!$B$14*'03 Assumptions'!$B$38)-MIN(D36-MIN(D36,'06 Sources &amp; Uses'!$B$14*'03 Assumptions'!$B$38),MAX(0,D30-MIN(D36,'06 Sources &amp; Uses'!$B$14*'03 Assumptions'!$B$38)-MIN(D43,'06 Sources &amp; Uses'!$B$15*'03 Assumptions'!$B$38)))</f>
        <v>1484.1000000000001</v>
      </c>
      <c r="E37" s="16">
        <f>E36-MIN(E36,'06 Sources &amp; Uses'!$B$14*'03 Assumptions'!$B$38)-MIN(E36-MIN(E36,'06 Sources &amp; Uses'!$B$14*'03 Assumptions'!$B$38),MAX(0,E30-MIN(E36,'06 Sources &amp; Uses'!$B$14*'03 Assumptions'!$B$38)-MIN(E43,'06 Sources &amp; Uses'!$B$15*'03 Assumptions'!$B$38)))</f>
        <v>1484.1000000000001</v>
      </c>
      <c r="F37" s="16">
        <f>F36-MIN(F36,'06 Sources &amp; Uses'!$B$14*'03 Assumptions'!$B$38)-MIN(F36-MIN(F36,'06 Sources &amp; Uses'!$B$14*'03 Assumptions'!$B$38),MAX(0,F30-MIN(F36,'06 Sources &amp; Uses'!$B$14*'03 Assumptions'!$B$38)-MIN(F43,'06 Sources &amp; Uses'!$B$15*'03 Assumptions'!$B$38)))</f>
        <v>1484.1000000000001</v>
      </c>
      <c r="G37" s="16">
        <f>G36-MIN(G36,'06 Sources &amp; Uses'!$B$14*'03 Assumptions'!$B$38)-MIN(G36-MIN(G36,'06 Sources &amp; Uses'!$B$14*'03 Assumptions'!$B$38),MAX(0,G30-MIN(G36,'06 Sources &amp; Uses'!$B$14*'03 Assumptions'!$B$38)-MIN(G43,'06 Sources &amp; Uses'!$B$15*'03 Assumptions'!$B$38)))</f>
        <v>1428.2145230038363</v>
      </c>
    </row>
    <row r="38" spans="1:7" x14ac:dyDescent="0.2">
      <c r="A38" s="8" t="s">
        <v>343</v>
      </c>
      <c r="C38" s="16">
        <f>C37-MIN(C37,'06 Sources &amp; Uses'!$B$14*'03 Assumptions'!$B$38)-MIN(C37-MIN(C37,'06 Sources &amp; Uses'!$B$14*'03 Assumptions'!$B$38),MAX(0,C31-MIN(C37,'06 Sources &amp; Uses'!$B$14*'03 Assumptions'!$B$38)-MIN(C44,'06 Sources &amp; Uses'!$B$15*'03 Assumptions'!$B$38)))</f>
        <v>1468.8000000000002</v>
      </c>
      <c r="D38" s="16">
        <f>D37-MIN(D37,'06 Sources &amp; Uses'!$B$14*'03 Assumptions'!$B$38)-MIN(D37-MIN(D37,'06 Sources &amp; Uses'!$B$14*'03 Assumptions'!$B$38),MAX(0,D31-MIN(D37,'06 Sources &amp; Uses'!$B$14*'03 Assumptions'!$B$38)-MIN(D44,'06 Sources &amp; Uses'!$B$15*'03 Assumptions'!$B$38)))</f>
        <v>1468.8000000000002</v>
      </c>
      <c r="E38" s="16">
        <f>E37-MIN(E37,'06 Sources &amp; Uses'!$B$14*'03 Assumptions'!$B$38)-MIN(E37-MIN(E37,'06 Sources &amp; Uses'!$B$14*'03 Assumptions'!$B$38),MAX(0,E31-MIN(E37,'06 Sources &amp; Uses'!$B$14*'03 Assumptions'!$B$38)-MIN(E44,'06 Sources &amp; Uses'!$B$15*'03 Assumptions'!$B$38)))</f>
        <v>1453.142934445636</v>
      </c>
      <c r="F38" s="16">
        <f>F37-MIN(F37,'06 Sources &amp; Uses'!$B$14*'03 Assumptions'!$B$38)-MIN(F37-MIN(F37,'06 Sources &amp; Uses'!$B$14*'03 Assumptions'!$B$38),MAX(0,F31-MIN(F37,'06 Sources &amp; Uses'!$B$14*'03 Assumptions'!$B$38)-MIN(F44,'06 Sources &amp; Uses'!$B$15*'03 Assumptions'!$B$38)))</f>
        <v>1372.2878644000853</v>
      </c>
      <c r="G38" s="16">
        <f>G37-MIN(G37,'06 Sources &amp; Uses'!$B$14*'03 Assumptions'!$B$38)-MIN(G37-MIN(G37,'06 Sources &amp; Uses'!$B$14*'03 Assumptions'!$B$38),MAX(0,G31-MIN(G37,'06 Sources &amp; Uses'!$B$14*'03 Assumptions'!$B$38)-MIN(G44,'06 Sources &amp; Uses'!$B$15*'03 Assumptions'!$B$38)))</f>
        <v>1227.6590848703927</v>
      </c>
    </row>
    <row r="39" spans="1:7" x14ac:dyDescent="0.2">
      <c r="A39" s="8" t="s">
        <v>344</v>
      </c>
      <c r="C39" s="16">
        <f>C38-MIN(C38,'06 Sources &amp; Uses'!$B$14*'03 Assumptions'!$B$38)-MIN(C38-MIN(C38,'06 Sources &amp; Uses'!$B$14*'03 Assumptions'!$B$38),MAX(0,C32-MIN(C38,'06 Sources &amp; Uses'!$B$14*'03 Assumptions'!$B$38)-MIN(C45,'06 Sources &amp; Uses'!$B$15*'03 Assumptions'!$B$38)))</f>
        <v>1453.5000000000002</v>
      </c>
      <c r="D39" s="16">
        <f>D38-MIN(D38,'06 Sources &amp; Uses'!$B$14*'03 Assumptions'!$B$38)-MIN(D38-MIN(D38,'06 Sources &amp; Uses'!$B$14*'03 Assumptions'!$B$38),MAX(0,D32-MIN(D38,'06 Sources &amp; Uses'!$B$14*'03 Assumptions'!$B$38)-MIN(D45,'06 Sources &amp; Uses'!$B$15*'03 Assumptions'!$B$38)))</f>
        <v>1453.5000000000002</v>
      </c>
      <c r="E39" s="16">
        <f>E38-MIN(E38,'06 Sources &amp; Uses'!$B$14*'03 Assumptions'!$B$38)-MIN(E38-MIN(E38,'06 Sources &amp; Uses'!$B$14*'03 Assumptions'!$B$38),MAX(0,E32-MIN(E38,'06 Sources &amp; Uses'!$B$14*'03 Assumptions'!$B$38)-MIN(E45,'06 Sources &amp; Uses'!$B$15*'03 Assumptions'!$B$38)))</f>
        <v>1353.186990215622</v>
      </c>
      <c r="F39" s="16">
        <f>F38-MIN(F38,'06 Sources &amp; Uses'!$B$14*'03 Assumptions'!$B$38)-MIN(F38-MIN(F38,'06 Sources &amp; Uses'!$B$14*'03 Assumptions'!$B$38),MAX(0,F32-MIN(F38,'06 Sources &amp; Uses'!$B$14*'03 Assumptions'!$B$38)-MIN(F45,'06 Sources &amp; Uses'!$B$15*'03 Assumptions'!$B$38)))</f>
        <v>1159.4497576928063</v>
      </c>
      <c r="G39" s="16">
        <f>G38-MIN(G38,'06 Sources &amp; Uses'!$B$14*'03 Assumptions'!$B$38)-MIN(G38-MIN(G38,'06 Sources &amp; Uses'!$B$14*'03 Assumptions'!$B$38),MAX(0,G32-MIN(G38,'06 Sources &amp; Uses'!$B$14*'03 Assumptions'!$B$38)-MIN(G45,'06 Sources &amp; Uses'!$B$15*'03 Assumptions'!$B$38)))</f>
        <v>889.89309941939746</v>
      </c>
    </row>
    <row r="42" spans="1:7" x14ac:dyDescent="0.2">
      <c r="A42" s="8" t="s">
        <v>345</v>
      </c>
      <c r="C42" s="16">
        <f>'06 Sources &amp; Uses'!$B$15-MIN('06 Sources &amp; Uses'!$B$15,'06 Sources &amp; Uses'!$B$15*'03 Assumptions'!$B$38)-MIN('06 Sources &amp; Uses'!$B$15-MIN('06 Sources &amp; Uses'!$B$15,'06 Sources &amp; Uses'!$B$15*'03 Assumptions'!$B$38),MAX(0,MAX(0,C28-MIN('06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Assumptions'!$B$38))))</f>
        <v>6429.9697347775145</v>
      </c>
      <c r="D42" s="16">
        <f>'06 Sources &amp; Uses'!$B$15-MIN('06 Sources &amp; Uses'!$B$15,'06 Sources &amp; Uses'!$B$15*'03 Assumptions'!$B$38)-MIN('06 Sources &amp; Uses'!$B$15-MIN('06 Sources &amp; Uses'!$B$15,'06 Sources &amp; Uses'!$B$15*'03 Assumptions'!$B$38),MAX(0,MAX(0,D28-MIN('06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Assumptions'!$B$38))))</f>
        <v>6429.9697347775145</v>
      </c>
      <c r="E42" s="16">
        <f>'06 Sources &amp; Uses'!$B$15-MIN('06 Sources &amp; Uses'!$B$15,'06 Sources &amp; Uses'!$B$15*'03 Assumptions'!$B$38)-MIN('06 Sources &amp; Uses'!$B$15-MIN('06 Sources &amp; Uses'!$B$15,'06 Sources &amp; Uses'!$B$15*'03 Assumptions'!$B$38),MAX(0,MAX(0,E28-MIN('06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Assumptions'!$B$38))))</f>
        <v>6429.9697347775145</v>
      </c>
      <c r="F42" s="16">
        <f>'06 Sources &amp; Uses'!$B$15-MIN('06 Sources &amp; Uses'!$B$15,'06 Sources &amp; Uses'!$B$15*'03 Assumptions'!$B$38)-MIN('06 Sources &amp; Uses'!$B$15-MIN('06 Sources &amp; Uses'!$B$15,'06 Sources &amp; Uses'!$B$15*'03 Assumptions'!$B$38),MAX(0,MAX(0,F28-MIN('06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Assumptions'!$B$38))))</f>
        <v>6429.9697347775145</v>
      </c>
      <c r="G42" s="16">
        <f>'06 Sources &amp; Uses'!$B$15-MIN('06 Sources &amp; Uses'!$B$15,'06 Sources &amp; Uses'!$B$15*'03 Assumptions'!$B$38)-MIN('06 Sources &amp; Uses'!$B$15-MIN('06 Sources &amp; Uses'!$B$15,'06 Sources &amp; Uses'!$B$15*'03 Assumptions'!$B$38),MAX(0,MAX(0,G28-MIN('06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Assumptions'!$B$38))))</f>
        <v>6429.9697347775145</v>
      </c>
    </row>
    <row r="43" spans="1:7" x14ac:dyDescent="0.2">
      <c r="A43" s="8" t="s">
        <v>346</v>
      </c>
      <c r="C43" s="16">
        <f>C42-MIN(C42,'06 Sources &amp; Uses'!$B$15*'03 Assumptions'!$B$38)-MIN(C42-MIN(C42,'06 Sources &amp; Uses'!$B$15*'03 Assumptions'!$B$38),MAX(0,MAX(0,C29-MIN(C35,'06 Sources &amp; Uses'!$B$14*'03 Assumptions'!$B$38)-MIN(C42,'06 Sources &amp; Uses'!$B$15*'03 Assumptions'!$B$38))-(C35-MIN(C35,'06 Sources &amp; Uses'!$B$14*'03 Assumptions'!$B$38))))</f>
        <v>6365.020545537338</v>
      </c>
      <c r="D43" s="16">
        <f>D42-MIN(D42,'06 Sources &amp; Uses'!$B$15*'03 Assumptions'!$B$38)-MIN(D42-MIN(D42,'06 Sources &amp; Uses'!$B$15*'03 Assumptions'!$B$38),MAX(0,MAX(0,D29-MIN(D35,'06 Sources &amp; Uses'!$B$14*'03 Assumptions'!$B$38)-MIN(D42,'06 Sources &amp; Uses'!$B$15*'03 Assumptions'!$B$38))-(D35-MIN(D35,'06 Sources &amp; Uses'!$B$14*'03 Assumptions'!$B$38))))</f>
        <v>6365.020545537338</v>
      </c>
      <c r="E43" s="16">
        <f>E42-MIN(E42,'06 Sources &amp; Uses'!$B$15*'03 Assumptions'!$B$38)-MIN(E42-MIN(E42,'06 Sources &amp; Uses'!$B$15*'03 Assumptions'!$B$38),MAX(0,MAX(0,E29-MIN(E35,'06 Sources &amp; Uses'!$B$14*'03 Assumptions'!$B$38)-MIN(E42,'06 Sources &amp; Uses'!$B$15*'03 Assumptions'!$B$38))-(E35-MIN(E35,'06 Sources &amp; Uses'!$B$14*'03 Assumptions'!$B$38))))</f>
        <v>6365.020545537338</v>
      </c>
      <c r="F43" s="16">
        <f>F42-MIN(F42,'06 Sources &amp; Uses'!$B$15*'03 Assumptions'!$B$38)-MIN(F42-MIN(F42,'06 Sources &amp; Uses'!$B$15*'03 Assumptions'!$B$38),MAX(0,MAX(0,F29-MIN(F35,'06 Sources &amp; Uses'!$B$14*'03 Assumptions'!$B$38)-MIN(F42,'06 Sources &amp; Uses'!$B$15*'03 Assumptions'!$B$38))-(F35-MIN(F35,'06 Sources &amp; Uses'!$B$14*'03 Assumptions'!$B$38))))</f>
        <v>6365.020545537338</v>
      </c>
      <c r="G43" s="16">
        <f>G42-MIN(G42,'06 Sources &amp; Uses'!$B$15*'03 Assumptions'!$B$38)-MIN(G42-MIN(G42,'06 Sources &amp; Uses'!$B$15*'03 Assumptions'!$B$38),MAX(0,MAX(0,G29-MIN(G35,'06 Sources &amp; Uses'!$B$14*'03 Assumptions'!$B$38)-MIN(G42,'06 Sources &amp; Uses'!$B$15*'03 Assumptions'!$B$38))-(G35-MIN(G35,'06 Sources &amp; Uses'!$B$14*'03 Assumptions'!$B$38))))</f>
        <v>6365.020545537338</v>
      </c>
    </row>
    <row r="44" spans="1:7" x14ac:dyDescent="0.2">
      <c r="A44" s="8" t="s">
        <v>347</v>
      </c>
      <c r="C44" s="16">
        <f>C43-MIN(C43,'06 Sources &amp; Uses'!$B$15*'03 Assumptions'!$B$38)-MIN(C43-MIN(C43,'06 Sources &amp; Uses'!$B$15*'03 Assumptions'!$B$38),MAX(0,MAX(0,C30-MIN(C36,'06 Sources &amp; Uses'!$B$14*'03 Assumptions'!$B$38)-MIN(C43,'06 Sources &amp; Uses'!$B$15*'03 Assumptions'!$B$38))-(C36-MIN(C36,'06 Sources &amp; Uses'!$B$14*'03 Assumptions'!$B$38))))</f>
        <v>6300.0713562971614</v>
      </c>
      <c r="D44" s="16">
        <f>D43-MIN(D43,'06 Sources &amp; Uses'!$B$15*'03 Assumptions'!$B$38)-MIN(D43-MIN(D43,'06 Sources &amp; Uses'!$B$15*'03 Assumptions'!$B$38),MAX(0,MAX(0,D30-MIN(D36,'06 Sources &amp; Uses'!$B$14*'03 Assumptions'!$B$38)-MIN(D43,'06 Sources &amp; Uses'!$B$15*'03 Assumptions'!$B$38))-(D36-MIN(D36,'06 Sources &amp; Uses'!$B$14*'03 Assumptions'!$B$38))))</f>
        <v>6300.0713562971614</v>
      </c>
      <c r="E44" s="16">
        <f>E43-MIN(E43,'06 Sources &amp; Uses'!$B$15*'03 Assumptions'!$B$38)-MIN(E43-MIN(E43,'06 Sources &amp; Uses'!$B$15*'03 Assumptions'!$B$38),MAX(0,MAX(0,E30-MIN(E36,'06 Sources &amp; Uses'!$B$14*'03 Assumptions'!$B$38)-MIN(E43,'06 Sources &amp; Uses'!$B$15*'03 Assumptions'!$B$38))-(E36-MIN(E36,'06 Sources &amp; Uses'!$B$14*'03 Assumptions'!$B$38))))</f>
        <v>6300.0713562971614</v>
      </c>
      <c r="F44" s="16">
        <f>F43-MIN(F43,'06 Sources &amp; Uses'!$B$15*'03 Assumptions'!$B$38)-MIN(F43-MIN(F43,'06 Sources &amp; Uses'!$B$15*'03 Assumptions'!$B$38),MAX(0,MAX(0,F30-MIN(F36,'06 Sources &amp; Uses'!$B$14*'03 Assumptions'!$B$38)-MIN(F43,'06 Sources &amp; Uses'!$B$15*'03 Assumptions'!$B$38))-(F36-MIN(F36,'06 Sources &amp; Uses'!$B$14*'03 Assumptions'!$B$38))))</f>
        <v>6300.0713562971614</v>
      </c>
      <c r="G44" s="16">
        <f>G43-MIN(G43,'06 Sources &amp; Uses'!$B$15*'03 Assumptions'!$B$38)-MIN(G43-MIN(G43,'06 Sources &amp; Uses'!$B$15*'03 Assumptions'!$B$38),MAX(0,MAX(0,G30-MIN(G36,'06 Sources &amp; Uses'!$B$14*'03 Assumptions'!$B$38)-MIN(G43,'06 Sources &amp; Uses'!$B$15*'03 Assumptions'!$B$38))-(G36-MIN(G36,'06 Sources &amp; Uses'!$B$14*'03 Assumptions'!$B$38))))</f>
        <v>6300.0713562971614</v>
      </c>
    </row>
    <row r="45" spans="1:7" x14ac:dyDescent="0.2">
      <c r="A45" s="8" t="s">
        <v>348</v>
      </c>
      <c r="C45" s="16">
        <f>C44-MIN(C44,'06 Sources &amp; Uses'!$B$15*'03 Assumptions'!$B$38)-MIN(C44-MIN(C44,'06 Sources &amp; Uses'!$B$15*'03 Assumptions'!$B$38),MAX(0,MAX(0,C31-MIN(C37,'06 Sources &amp; Uses'!$B$14*'03 Assumptions'!$B$38)-MIN(C44,'06 Sources &amp; Uses'!$B$15*'03 Assumptions'!$B$38))-(C37-MIN(C37,'06 Sources &amp; Uses'!$B$14*'03 Assumptions'!$B$38))))</f>
        <v>6235.1221670569848</v>
      </c>
      <c r="D45" s="16">
        <f>D44-MIN(D44,'06 Sources &amp; Uses'!$B$15*'03 Assumptions'!$B$38)-MIN(D44-MIN(D44,'06 Sources &amp; Uses'!$B$15*'03 Assumptions'!$B$38),MAX(0,MAX(0,D31-MIN(D37,'06 Sources &amp; Uses'!$B$14*'03 Assumptions'!$B$38)-MIN(D44,'06 Sources &amp; Uses'!$B$15*'03 Assumptions'!$B$38))-(D37-MIN(D37,'06 Sources &amp; Uses'!$B$14*'03 Assumptions'!$B$38))))</f>
        <v>6235.1221670569848</v>
      </c>
      <c r="E45" s="16">
        <f>E44-MIN(E44,'06 Sources &amp; Uses'!$B$15*'03 Assumptions'!$B$38)-MIN(E44-MIN(E44,'06 Sources &amp; Uses'!$B$15*'03 Assumptions'!$B$38),MAX(0,MAX(0,E31-MIN(E37,'06 Sources &amp; Uses'!$B$14*'03 Assumptions'!$B$38)-MIN(E44,'06 Sources &amp; Uses'!$B$15*'03 Assumptions'!$B$38))-(E37-MIN(E37,'06 Sources &amp; Uses'!$B$14*'03 Assumptions'!$B$38))))</f>
        <v>6235.1221670569848</v>
      </c>
      <c r="F45" s="16">
        <f>F44-MIN(F44,'06 Sources &amp; Uses'!$B$15*'03 Assumptions'!$B$38)-MIN(F44-MIN(F44,'06 Sources &amp; Uses'!$B$15*'03 Assumptions'!$B$38),MAX(0,MAX(0,F31-MIN(F37,'06 Sources &amp; Uses'!$B$14*'03 Assumptions'!$B$38)-MIN(F44,'06 Sources &amp; Uses'!$B$15*'03 Assumptions'!$B$38))-(F37-MIN(F37,'06 Sources &amp; Uses'!$B$14*'03 Assumptions'!$B$38))))</f>
        <v>6235.1221670569848</v>
      </c>
      <c r="G45" s="16">
        <f>G44-MIN(G44,'06 Sources &amp; Uses'!$B$15*'03 Assumptions'!$B$38)-MIN(G44-MIN(G44,'06 Sources &amp; Uses'!$B$15*'03 Assumptions'!$B$38),MAX(0,MAX(0,G31-MIN(G37,'06 Sources &amp; Uses'!$B$14*'03 Assumptions'!$B$38)-MIN(G44,'06 Sources &amp; Uses'!$B$15*'03 Assumptions'!$B$38))-(G37-MIN(G37,'06 Sources &amp; Uses'!$B$14*'03 Assumptions'!$B$38))))</f>
        <v>6235.1221670569848</v>
      </c>
    </row>
    <row r="46" spans="1:7" x14ac:dyDescent="0.2">
      <c r="A46" s="8" t="s">
        <v>349</v>
      </c>
      <c r="C46" s="16">
        <f>C45-MIN(C45,'06 Sources &amp; Uses'!$B$15*'03 Assumptions'!$B$38)-MIN(C45-MIN(C45,'06 Sources &amp; Uses'!$B$15*'03 Assumptions'!$B$38),MAX(0,MAX(0,C32-MIN(C38,'06 Sources &amp; Uses'!$B$14*'03 Assumptions'!$B$38)-MIN(C45,'06 Sources &amp; Uses'!$B$15*'03 Assumptions'!$B$38))-(C38-MIN(C38,'06 Sources &amp; Uses'!$B$14*'03 Assumptions'!$B$38))))</f>
        <v>6170.1729778168083</v>
      </c>
      <c r="D46" s="16">
        <f>D45-MIN(D45,'06 Sources &amp; Uses'!$B$15*'03 Assumptions'!$B$38)-MIN(D45-MIN(D45,'06 Sources &amp; Uses'!$B$15*'03 Assumptions'!$B$38),MAX(0,MAX(0,D32-MIN(D38,'06 Sources &amp; Uses'!$B$14*'03 Assumptions'!$B$38)-MIN(D45,'06 Sources &amp; Uses'!$B$15*'03 Assumptions'!$B$38))-(D38-MIN(D38,'06 Sources &amp; Uses'!$B$14*'03 Assumptions'!$B$38))))</f>
        <v>6170.1729778168083</v>
      </c>
      <c r="E46" s="16">
        <f>E45-MIN(E45,'06 Sources &amp; Uses'!$B$15*'03 Assumptions'!$B$38)-MIN(E45-MIN(E45,'06 Sources &amp; Uses'!$B$15*'03 Assumptions'!$B$38),MAX(0,MAX(0,E32-MIN(E38,'06 Sources &amp; Uses'!$B$14*'03 Assumptions'!$B$38)-MIN(E45,'06 Sources &amp; Uses'!$B$15*'03 Assumptions'!$B$38))-(E38-MIN(E38,'06 Sources &amp; Uses'!$B$14*'03 Assumptions'!$B$38))))</f>
        <v>6170.1729778168083</v>
      </c>
      <c r="F46" s="16">
        <f>F45-MIN(F45,'06 Sources &amp; Uses'!$B$15*'03 Assumptions'!$B$38)-MIN(F45-MIN(F45,'06 Sources &amp; Uses'!$B$15*'03 Assumptions'!$B$38),MAX(0,MAX(0,F32-MIN(F38,'06 Sources &amp; Uses'!$B$14*'03 Assumptions'!$B$38)-MIN(F45,'06 Sources &amp; Uses'!$B$15*'03 Assumptions'!$B$38))-(F38-MIN(F38,'06 Sources &amp; Uses'!$B$14*'03 Assumptions'!$B$38))))</f>
        <v>6170.1729778168083</v>
      </c>
      <c r="G46" s="16">
        <f>G45-MIN(G45,'06 Sources &amp; Uses'!$B$15*'03 Assumptions'!$B$38)-MIN(G45-MIN(G45,'06 Sources &amp; Uses'!$B$15*'03 Assumptions'!$B$38),MAX(0,MAX(0,G32-MIN(G38,'06 Sources &amp; Uses'!$B$14*'03 Assumptions'!$B$38)-MIN(G45,'06 Sources &amp; Uses'!$B$15*'03 Assumptions'!$B$38))-(G38-MIN(G38,'06 Sources &amp; Uses'!$B$14*'03 Assumptions'!$B$38))))</f>
        <v>6170.1729778168083</v>
      </c>
    </row>
    <row r="49" spans="1:7" x14ac:dyDescent="0.2">
      <c r="A49" s="8" t="s">
        <v>350</v>
      </c>
      <c r="C49" s="16">
        <f>0+MAX(0,MAX(0,C28-MIN('06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Assumptions'!$B$38))-('06 Sources &amp; Uses'!$B$15-MIN('06 Sources &amp; Uses'!$B$15,'06 Sources &amp; Uses'!$B$15*'03 Assumptions'!$B$38)))</f>
        <v>0</v>
      </c>
      <c r="D49" s="16">
        <f>0+MAX(0,MAX(0,D28-MIN('06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Assumptions'!$B$38))-('06 Sources &amp; Uses'!$B$15-MIN('06 Sources &amp; Uses'!$B$15,'06 Sources &amp; Uses'!$B$15*'03 Assumptions'!$B$38)))</f>
        <v>0</v>
      </c>
      <c r="E49" s="16">
        <f>0+MAX(0,MAX(0,E28-MIN('06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Assumptions'!$B$38))-('06 Sources &amp; Uses'!$B$15-MIN('06 Sources &amp; Uses'!$B$15,'06 Sources &amp; Uses'!$B$15*'03 Assumptions'!$B$38)))</f>
        <v>0</v>
      </c>
      <c r="F49" s="16">
        <f>0+MAX(0,MAX(0,F28-MIN('06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Assumptions'!$B$38))-('06 Sources &amp; Uses'!$B$15-MIN('06 Sources &amp; Uses'!$B$15,'06 Sources &amp; Uses'!$B$15*'03 Assumptions'!$B$38)))</f>
        <v>0</v>
      </c>
      <c r="G49" s="16">
        <f>0+MAX(0,MAX(0,G28-MIN('06 Sources &amp; Uses'!$B$14,'06 Sources &amp; Uses'!$B$14*'03 Assumptions'!$B$38)-MIN('06 Sources &amp; Uses'!$B$15,'06 Sources &amp; Uses'!$B$15*'03 Assumptions'!$B$38))-('06 Sources &amp; Uses'!$B$14-MIN('06 Sources &amp; Uses'!$B$14,'06 Sources &amp; Uses'!$B$14*'03 Assumptions'!$B$38))-('06 Sources &amp; Uses'!$B$15-MIN('06 Sources &amp; Uses'!$B$15,'06 Sources &amp; Uses'!$B$15*'03 Assumptions'!$B$38)))</f>
        <v>0</v>
      </c>
    </row>
    <row r="50" spans="1:7" x14ac:dyDescent="0.2">
      <c r="A50" s="8" t="s">
        <v>351</v>
      </c>
      <c r="C50" s="16">
        <f>C49+MAX(0,MAX(0,C29-MIN(C35,'06 Sources &amp; Uses'!$B$14*'03 Assumptions'!$B$38)-MIN(C42,'06 Sources &amp; Uses'!$B$15*'03 Assumptions'!$B$38))-(C35-MIN(C35,'06 Sources &amp; Uses'!$B$14*'03 Assumptions'!$B$38))-(C42-MIN(C42,'06 Sources &amp; Uses'!$B$15*'03 Assumptions'!$B$38)))</f>
        <v>0</v>
      </c>
      <c r="D50" s="16">
        <f>D49+MAX(0,MAX(0,D29-MIN(D35,'06 Sources &amp; Uses'!$B$14*'03 Assumptions'!$B$38)-MIN(D42,'06 Sources &amp; Uses'!$B$15*'03 Assumptions'!$B$38))-(D35-MIN(D35,'06 Sources &amp; Uses'!$B$14*'03 Assumptions'!$B$38))-(D42-MIN(D42,'06 Sources &amp; Uses'!$B$15*'03 Assumptions'!$B$38)))</f>
        <v>0</v>
      </c>
      <c r="E50" s="16">
        <f>E49+MAX(0,MAX(0,E29-MIN(E35,'06 Sources &amp; Uses'!$B$14*'03 Assumptions'!$B$38)-MIN(E42,'06 Sources &amp; Uses'!$B$15*'03 Assumptions'!$B$38))-(E35-MIN(E35,'06 Sources &amp; Uses'!$B$14*'03 Assumptions'!$B$38))-(E42-MIN(E42,'06 Sources &amp; Uses'!$B$15*'03 Assumptions'!$B$38)))</f>
        <v>0</v>
      </c>
      <c r="F50" s="16">
        <f>F49+MAX(0,MAX(0,F29-MIN(F35,'06 Sources &amp; Uses'!$B$14*'03 Assumptions'!$B$38)-MIN(F42,'06 Sources &amp; Uses'!$B$15*'03 Assumptions'!$B$38))-(F35-MIN(F35,'06 Sources &amp; Uses'!$B$14*'03 Assumptions'!$B$38))-(F42-MIN(F42,'06 Sources &amp; Uses'!$B$15*'03 Assumptions'!$B$38)))</f>
        <v>0</v>
      </c>
      <c r="G50" s="16">
        <f>G49+MAX(0,MAX(0,G29-MIN(G35,'06 Sources &amp; Uses'!$B$14*'03 Assumptions'!$B$38)-MIN(G42,'06 Sources &amp; Uses'!$B$15*'03 Assumptions'!$B$38))-(G35-MIN(G35,'06 Sources &amp; Uses'!$B$14*'03 Assumptions'!$B$38))-(G42-MIN(G42,'06 Sources &amp; Uses'!$B$15*'03 Assumptions'!$B$38)))</f>
        <v>0</v>
      </c>
    </row>
    <row r="51" spans="1:7" x14ac:dyDescent="0.2">
      <c r="A51" s="8" t="s">
        <v>352</v>
      </c>
      <c r="C51" s="16">
        <f>C50+MAX(0,MAX(0,C30-MIN(C36,'06 Sources &amp; Uses'!$B$14*'03 Assumptions'!$B$38)-MIN(C43,'06 Sources &amp; Uses'!$B$15*'03 Assumptions'!$B$38))-(C36-MIN(C36,'06 Sources &amp; Uses'!$B$14*'03 Assumptions'!$B$38))-(C43-MIN(C43,'06 Sources &amp; Uses'!$B$15*'03 Assumptions'!$B$38)))</f>
        <v>0</v>
      </c>
      <c r="D51" s="16">
        <f>D50+MAX(0,MAX(0,D30-MIN(D36,'06 Sources &amp; Uses'!$B$14*'03 Assumptions'!$B$38)-MIN(D43,'06 Sources &amp; Uses'!$B$15*'03 Assumptions'!$B$38))-(D36-MIN(D36,'06 Sources &amp; Uses'!$B$14*'03 Assumptions'!$B$38))-(D43-MIN(D43,'06 Sources &amp; Uses'!$B$15*'03 Assumptions'!$B$38)))</f>
        <v>0</v>
      </c>
      <c r="E51" s="16">
        <f>E50+MAX(0,MAX(0,E30-MIN(E36,'06 Sources &amp; Uses'!$B$14*'03 Assumptions'!$B$38)-MIN(E43,'06 Sources &amp; Uses'!$B$15*'03 Assumptions'!$B$38))-(E36-MIN(E36,'06 Sources &amp; Uses'!$B$14*'03 Assumptions'!$B$38))-(E43-MIN(E43,'06 Sources &amp; Uses'!$B$15*'03 Assumptions'!$B$38)))</f>
        <v>0</v>
      </c>
      <c r="F51" s="16">
        <f>F50+MAX(0,MAX(0,F30-MIN(F36,'06 Sources &amp; Uses'!$B$14*'03 Assumptions'!$B$38)-MIN(F43,'06 Sources &amp; Uses'!$B$15*'03 Assumptions'!$B$38))-(F36-MIN(F36,'06 Sources &amp; Uses'!$B$14*'03 Assumptions'!$B$38))-(F43-MIN(F43,'06 Sources &amp; Uses'!$B$15*'03 Assumptions'!$B$38)))</f>
        <v>0</v>
      </c>
      <c r="G51" s="16">
        <f>G50+MAX(0,MAX(0,G30-MIN(G36,'06 Sources &amp; Uses'!$B$14*'03 Assumptions'!$B$38)-MIN(G43,'06 Sources &amp; Uses'!$B$15*'03 Assumptions'!$B$38))-(G36-MIN(G36,'06 Sources &amp; Uses'!$B$14*'03 Assumptions'!$B$38))-(G43-MIN(G43,'06 Sources &amp; Uses'!$B$15*'03 Assumptions'!$B$38)))</f>
        <v>0</v>
      </c>
    </row>
    <row r="52" spans="1:7" x14ac:dyDescent="0.2">
      <c r="A52" s="8" t="s">
        <v>353</v>
      </c>
      <c r="C52" s="16">
        <f>C51+MAX(0,MAX(0,C31-MIN(C37,'06 Sources &amp; Uses'!$B$14*'03 Assumptions'!$B$38)-MIN(C44,'06 Sources &amp; Uses'!$B$15*'03 Assumptions'!$B$38))-(C37-MIN(C37,'06 Sources &amp; Uses'!$B$14*'03 Assumptions'!$B$38))-(C44-MIN(C44,'06 Sources &amp; Uses'!$B$15*'03 Assumptions'!$B$38)))</f>
        <v>0</v>
      </c>
      <c r="D52" s="16">
        <f>D51+MAX(0,MAX(0,D31-MIN(D37,'06 Sources &amp; Uses'!$B$14*'03 Assumptions'!$B$38)-MIN(D44,'06 Sources &amp; Uses'!$B$15*'03 Assumptions'!$B$38))-(D37-MIN(D37,'06 Sources &amp; Uses'!$B$14*'03 Assumptions'!$B$38))-(D44-MIN(D44,'06 Sources &amp; Uses'!$B$15*'03 Assumptions'!$B$38)))</f>
        <v>0</v>
      </c>
      <c r="E52" s="16">
        <f>E51+MAX(0,MAX(0,E31-MIN(E37,'06 Sources &amp; Uses'!$B$14*'03 Assumptions'!$B$38)-MIN(E44,'06 Sources &amp; Uses'!$B$15*'03 Assumptions'!$B$38))-(E37-MIN(E37,'06 Sources &amp; Uses'!$B$14*'03 Assumptions'!$B$38))-(E44-MIN(E44,'06 Sources &amp; Uses'!$B$15*'03 Assumptions'!$B$38)))</f>
        <v>0</v>
      </c>
      <c r="F52" s="16">
        <f>F51+MAX(0,MAX(0,F31-MIN(F37,'06 Sources &amp; Uses'!$B$14*'03 Assumptions'!$B$38)-MIN(F44,'06 Sources &amp; Uses'!$B$15*'03 Assumptions'!$B$38))-(F37-MIN(F37,'06 Sources &amp; Uses'!$B$14*'03 Assumptions'!$B$38))-(F44-MIN(F44,'06 Sources &amp; Uses'!$B$15*'03 Assumptions'!$B$38)))</f>
        <v>0</v>
      </c>
      <c r="G52" s="16">
        <f>G51+MAX(0,MAX(0,G31-MIN(G37,'06 Sources &amp; Uses'!$B$14*'03 Assumptions'!$B$38)-MIN(G44,'06 Sources &amp; Uses'!$B$15*'03 Assumptions'!$B$38))-(G37-MIN(G37,'06 Sources &amp; Uses'!$B$14*'03 Assumptions'!$B$38))-(G44-MIN(G44,'06 Sources &amp; Uses'!$B$15*'03 Assumptions'!$B$38)))</f>
        <v>0</v>
      </c>
    </row>
    <row r="53" spans="1:7" x14ac:dyDescent="0.2">
      <c r="A53" s="8" t="s">
        <v>354</v>
      </c>
      <c r="C53" s="16">
        <f>C52+MAX(0,MAX(0,C32-MIN(C38,'06 Sources &amp; Uses'!$B$14*'03 Assumptions'!$B$38)-MIN(C45,'06 Sources &amp; Uses'!$B$15*'03 Assumptions'!$B$38))-(C38-MIN(C38,'06 Sources &amp; Uses'!$B$14*'03 Assumptions'!$B$38))-(C45-MIN(C45,'06 Sources &amp; Uses'!$B$15*'03 Assumptions'!$B$38)))</f>
        <v>0</v>
      </c>
      <c r="D53" s="16">
        <f>D52+MAX(0,MAX(0,D32-MIN(D38,'06 Sources &amp; Uses'!$B$14*'03 Assumptions'!$B$38)-MIN(D45,'06 Sources &amp; Uses'!$B$15*'03 Assumptions'!$B$38))-(D38-MIN(D38,'06 Sources &amp; Uses'!$B$14*'03 Assumptions'!$B$38))-(D45-MIN(D45,'06 Sources &amp; Uses'!$B$15*'03 Assumptions'!$B$38)))</f>
        <v>0</v>
      </c>
      <c r="E53" s="16">
        <f>E52+MAX(0,MAX(0,E32-MIN(E38,'06 Sources &amp; Uses'!$B$14*'03 Assumptions'!$B$38)-MIN(E45,'06 Sources &amp; Uses'!$B$15*'03 Assumptions'!$B$38))-(E38-MIN(E38,'06 Sources &amp; Uses'!$B$14*'03 Assumptions'!$B$38))-(E45-MIN(E45,'06 Sources &amp; Uses'!$B$15*'03 Assumptions'!$B$38)))</f>
        <v>0</v>
      </c>
      <c r="F53" s="16">
        <f>F52+MAX(0,MAX(0,F32-MIN(F38,'06 Sources &amp; Uses'!$B$14*'03 Assumptions'!$B$38)-MIN(F45,'06 Sources &amp; Uses'!$B$15*'03 Assumptions'!$B$38))-(F38-MIN(F38,'06 Sources &amp; Uses'!$B$14*'03 Assumptions'!$B$38))-(F45-MIN(F45,'06 Sources &amp; Uses'!$B$15*'03 Assumptions'!$B$38)))</f>
        <v>0</v>
      </c>
      <c r="G53" s="16">
        <f>G52+MAX(0,MAX(0,G32-MIN(G38,'06 Sources &amp; Uses'!$B$14*'03 Assumptions'!$B$38)-MIN(G45,'06 Sources &amp; Uses'!$B$15*'03 Assumptions'!$B$38))-(G38-MIN(G38,'06 Sources &amp; Uses'!$B$14*'03 Assumptions'!$B$38))-(G45-MIN(G45,'06 Sources &amp; Uses'!$B$15*'03 Assumptions'!$B$38)))</f>
        <v>0</v>
      </c>
    </row>
    <row r="56" spans="1:7" x14ac:dyDescent="0.2">
      <c r="A56" s="3" t="s">
        <v>355</v>
      </c>
    </row>
    <row r="57" spans="1:7" x14ac:dyDescent="0.2">
      <c r="C57" s="17">
        <f>C17</f>
        <v>0.02</v>
      </c>
      <c r="D57" s="17">
        <f>D17</f>
        <v>0.04</v>
      </c>
      <c r="E57" s="17">
        <f>E17</f>
        <v>0.06</v>
      </c>
      <c r="F57" s="17">
        <f>F17</f>
        <v>0.08</v>
      </c>
      <c r="G57" s="17">
        <f>G17</f>
        <v>0.1</v>
      </c>
    </row>
    <row r="58" spans="1:7" x14ac:dyDescent="0.2">
      <c r="B58" s="13">
        <v>9</v>
      </c>
      <c r="C58" s="14">
        <f>(($B58*C25-(C39+C46+'06 Sources &amp; Uses'!$B$16-C53-'03 Assumptions'!$B$44))/'06 Sources &amp; Uses'!$B$18)^(1/5)-1</f>
        <v>-9.9980131106002235E-2</v>
      </c>
      <c r="D58" s="14">
        <f>(($B58*D25-(D39+D46+'06 Sources &amp; Uses'!$B$16-D53-'03 Assumptions'!$B$44))/'06 Sources &amp; Uses'!$B$18)^(1/5)-1</f>
        <v>-3.9634662366539231E-2</v>
      </c>
      <c r="E58" s="14">
        <f>(($B58*E25-(E39+E46+'06 Sources &amp; Uses'!$B$16-E53-'03 Assumptions'!$B$44))/'06 Sources &amp; Uses'!$B$18)^(1/5)-1</f>
        <v>1.6180740309802877E-2</v>
      </c>
      <c r="F58" s="14">
        <f>(($B58*F25-(F39+F46+'06 Sources &amp; Uses'!$B$16-F53-'03 Assumptions'!$B$44))/'06 Sources &amp; Uses'!$B$18)^(1/5)-1</f>
        <v>6.8080217408087229E-2</v>
      </c>
      <c r="G58" s="14">
        <f>(($B58*G25-(G39+G46+'06 Sources &amp; Uses'!$B$16-G53-'03 Assumptions'!$B$44))/'06 Sources &amp; Uses'!$B$18)^(1/5)-1</f>
        <v>0.11630856916710597</v>
      </c>
    </row>
    <row r="59" spans="1:7" x14ac:dyDescent="0.2">
      <c r="B59" s="13">
        <v>10</v>
      </c>
      <c r="C59" s="14">
        <f>(($B59*C25-(C39+C46+'06 Sources &amp; Uses'!$B$16-C53-'03 Assumptions'!$B$44))/'06 Sources &amp; Uses'!$B$18)^(1/5)-1</f>
        <v>-3.4904584123511162E-2</v>
      </c>
      <c r="D59" s="14">
        <f>(($B59*D25-(D39+D46+'06 Sources &amp; Uses'!$B$16-D53-'03 Assumptions'!$B$44))/'06 Sources &amp; Uses'!$B$18)^(1/5)-1</f>
        <v>1.7154264894646998E-2</v>
      </c>
      <c r="E59" s="14">
        <f>(($B59*E25-(E39+E46+'06 Sources &amp; Uses'!$B$16-E53-'03 Assumptions'!$B$44))/'06 Sources &amp; Uses'!$B$18)^(1/5)-1</f>
        <v>6.6933279979599192E-2</v>
      </c>
      <c r="F59" s="14">
        <f>(($B59*F25-(F39+F46+'06 Sources &amp; Uses'!$B$16-F53-'03 Assumptions'!$B$44))/'06 Sources &amp; Uses'!$B$18)^(1/5)-1</f>
        <v>0.11434662020801412</v>
      </c>
      <c r="G59" s="14">
        <f>(($B59*G25-(G39+G46+'06 Sources &amp; Uses'!$B$16-G53-'03 Assumptions'!$B$44))/'06 Sources &amp; Uses'!$B$18)^(1/5)-1</f>
        <v>0.15922444216398102</v>
      </c>
    </row>
    <row r="60" spans="1:7" x14ac:dyDescent="0.2">
      <c r="B60" s="13">
        <v>11</v>
      </c>
      <c r="C60" s="14">
        <f>(($B60*C25-(C39+C46+'06 Sources &amp; Uses'!$B$16-C53-'03 Assumptions'!$B$44))/'06 Sources &amp; Uses'!$B$18)^(1/5)-1</f>
        <v>1.6249235801244932E-2</v>
      </c>
      <c r="D60" s="14">
        <f>(($B60*D25-(D39+D46+'06 Sources &amp; Uses'!$B$16-D53-'03 Assumptions'!$B$44))/'06 Sources &amp; Uses'!$B$18)^(1/5)-1</f>
        <v>6.3521758477335544E-2</v>
      </c>
      <c r="E60" s="14">
        <f>(($B60*E25-(E39+E46+'06 Sources &amp; Uses'!$B$16-E53-'03 Assumptions'!$B$44))/'06 Sources &amp; Uses'!$B$18)^(1/5)-1</f>
        <v>0.10954009562148226</v>
      </c>
      <c r="F60" s="14">
        <f>(($B60*F25-(F39+F46+'06 Sources &amp; Uses'!$B$16-F53-'03 Assumptions'!$B$44))/'06 Sources &amp; Uses'!$B$18)^(1/5)-1</f>
        <v>0.15400268240503445</v>
      </c>
      <c r="G60" s="14">
        <f>(($B60*G25-(G39+G46+'06 Sources &amp; Uses'!$B$16-G53-'03 Assumptions'!$B$44))/'06 Sources &amp; Uses'!$B$18)^(1/5)-1</f>
        <v>0.19659041289599255</v>
      </c>
    </row>
    <row r="61" spans="1:7" x14ac:dyDescent="0.2">
      <c r="B61" s="13">
        <v>11.5</v>
      </c>
      <c r="C61" s="14">
        <f>(($B61*C25-(C39+C46+'06 Sources &amp; Uses'!$B$16-C53-'03 Assumptions'!$B$44))/'06 Sources &amp; Uses'!$B$18)^(1/5)-1</f>
        <v>3.839151597811985E-2</v>
      </c>
      <c r="D61" s="14">
        <f>(($B61*D25-(D39+D46+'06 Sources &amp; Uses'!$B$16-D53-'03 Assumptions'!$B$44))/'06 Sources &amp; Uses'!$B$18)^(1/5)-1</f>
        <v>8.3968725979109093E-2</v>
      </c>
      <c r="E61" s="14">
        <f>(($B61*E25-(E39+E46+'06 Sources &amp; Uses'!$B$16-E53-'03 Assumptions'!$B$44))/'06 Sources &amp; Uses'!$B$18)^(1/5)-1</f>
        <v>0.12860265161175</v>
      </c>
      <c r="F61" s="14">
        <f>(($B61*F25-(F39+F46+'06 Sources &amp; Uses'!$B$16-F53-'03 Assumptions'!$B$44))/'06 Sources &amp; Uses'!$B$18)^(1/5)-1</f>
        <v>0.17194719288312887</v>
      </c>
      <c r="G61" s="14">
        <f>(($B61*G25-(G39+G46+'06 Sources &amp; Uses'!$B$16-G53-'03 Assumptions'!$B$44))/'06 Sources &amp; Uses'!$B$18)^(1/5)-1</f>
        <v>0.21364907885171158</v>
      </c>
    </row>
    <row r="62" spans="1:7" x14ac:dyDescent="0.2">
      <c r="B62" s="13">
        <v>12</v>
      </c>
      <c r="C62" s="14">
        <f>(($B62*C25-(C39+C46+'06 Sources &amp; Uses'!$B$16-C53-'03 Assumptions'!$B$44))/'06 Sources &amp; Uses'!$B$18)^(1/5)-1</f>
        <v>5.8791927712066094E-2</v>
      </c>
      <c r="D62" s="14">
        <f>(($B62*D25-(D39+D46+'06 Sources &amp; Uses'!$B$16-D53-'03 Assumptions'!$B$44))/'06 Sources &amp; Uses'!$B$18)^(1/5)-1</f>
        <v>0.10298005819202904</v>
      </c>
      <c r="E62" s="14">
        <f>(($B62*E25-(E39+E46+'06 Sources &amp; Uses'!$B$16-E53-'03 Assumptions'!$B$44))/'06 Sources &amp; Uses'!$B$18)^(1/5)-1</f>
        <v>0.14645806064918854</v>
      </c>
      <c r="F62" s="14">
        <f>(($B62*F25-(F39+F46+'06 Sources &amp; Uses'!$B$16-F53-'03 Assumptions'!$B$44))/'06 Sources &amp; Uses'!$B$18)^(1/5)-1</f>
        <v>0.18885554800046056</v>
      </c>
      <c r="G62" s="14">
        <f>(($B62*G25-(G39+G46+'06 Sources &amp; Uses'!$B$16-G53-'03 Assumptions'!$B$44))/'06 Sources &amp; Uses'!$B$18)^(1/5)-1</f>
        <v>0.2297993098940645</v>
      </c>
    </row>
    <row r="63" spans="1:7" x14ac:dyDescent="0.2">
      <c r="B63" s="13">
        <v>12.9</v>
      </c>
      <c r="C63" s="14">
        <f>(($B63*C25-(C39+C46+'06 Sources &amp; Uses'!$B$16-C53-'03 Assumptions'!$B$44))/'06 Sources &amp; Uses'!$B$18)^(1/5)-1</f>
        <v>9.1978063009420685E-2</v>
      </c>
      <c r="D63" s="14">
        <f>(($B63*D25-(D39+D46+'06 Sources &amp; Uses'!$B$16-D53-'03 Assumptions'!$B$44))/'06 Sources &amp; Uses'!$B$18)^(1/5)-1</f>
        <v>0.13422042893942443</v>
      </c>
      <c r="E63" s="14">
        <f>(($B63*E25-(E39+E46+'06 Sources &amp; Uses'!$B$16-E53-'03 Assumptions'!$B$44))/'06 Sources &amp; Uses'!$B$18)^(1/5)-1</f>
        <v>0.17604510414827534</v>
      </c>
      <c r="F63" s="14">
        <f>(($B63*F25-(F39+F46+'06 Sources &amp; Uses'!$B$16-F53-'03 Assumptions'!$B$44))/'06 Sources &amp; Uses'!$B$18)^(1/5)-1</f>
        <v>0.21706611943496035</v>
      </c>
      <c r="G63" s="14">
        <f>(($B63*G25-(G39+G46+'06 Sources &amp; Uses'!$B$16-G53-'03 Assumptions'!$B$44))/'06 Sources &amp; Uses'!$B$18)^(1/5)-1</f>
        <v>0.25689553396556231</v>
      </c>
    </row>
    <row r="64" spans="1:7" x14ac:dyDescent="0.2">
      <c r="B64" s="13">
        <v>14</v>
      </c>
      <c r="C64" s="14">
        <f>(($B64*C25-(C39+C46+'06 Sources &amp; Uses'!$B$16-C53-'03 Assumptions'!$B$44))/'06 Sources &amp; Uses'!$B$18)^(1/5)-1</f>
        <v>0.12772854629361619</v>
      </c>
      <c r="D64" s="14">
        <f>(($B64*D25-(D39+D46+'06 Sources &amp; Uses'!$B$16-D53-'03 Assumptions'!$B$44))/'06 Sources &amp; Uses'!$B$18)^(1/5)-1</f>
        <v>0.16825243231504894</v>
      </c>
      <c r="E64" s="14">
        <f>(($B64*E25-(E39+E46+'06 Sources &amp; Uses'!$B$16-E53-'03 Assumptions'!$B$44))/'06 Sources &amp; Uses'!$B$18)^(1/5)-1</f>
        <v>0.20858187551798912</v>
      </c>
      <c r="F64" s="14">
        <f>(($B64*F25-(F39+F46+'06 Sources &amp; Uses'!$B$16-F53-'03 Assumptions'!$B$44))/'06 Sources &amp; Uses'!$B$18)^(1/5)-1</f>
        <v>0.24833534287205516</v>
      </c>
      <c r="G64" s="14">
        <f>(($B64*G25-(G39+G46+'06 Sources &amp; Uses'!$B$16-G53-'03 Assumptions'!$B$44))/'06 Sources &amp; Uses'!$B$18)^(1/5)-1</f>
        <v>0.28712609549749968</v>
      </c>
    </row>
    <row r="67" spans="1:5" x14ac:dyDescent="0.2">
      <c r="A67" s="3" t="s">
        <v>356</v>
      </c>
    </row>
    <row r="68" spans="1:5" x14ac:dyDescent="0.2">
      <c r="A68" s="8" t="s">
        <v>357</v>
      </c>
      <c r="C68" s="13">
        <v>5</v>
      </c>
      <c r="D68" s="13">
        <v>5.5</v>
      </c>
      <c r="E68" s="13">
        <v>6</v>
      </c>
    </row>
    <row r="69" spans="1:5" x14ac:dyDescent="0.2">
      <c r="A69" s="8" t="s">
        <v>358</v>
      </c>
      <c r="C69" s="16">
        <f>C68*'03 Assumptions'!$B$16</f>
        <v>4955.5</v>
      </c>
      <c r="D69" s="16">
        <f>D68*'03 Assumptions'!$B$16</f>
        <v>5451.05</v>
      </c>
      <c r="E69" s="16">
        <f>E68*'03 Assumptions'!$B$16</f>
        <v>5946.6</v>
      </c>
    </row>
    <row r="70" spans="1:5" x14ac:dyDescent="0.2">
      <c r="A70" s="8" t="s">
        <v>359</v>
      </c>
      <c r="C70" s="16">
        <f>'06 Sources &amp; Uses'!$B$4+'06 Sources &amp; Uses'!$B$5+'06 Sources &amp; Uses'!$B$6+'03 Assumptions'!$B$44+'03 Assumptions'!$B$25*C69-C69</f>
        <v>7517.4345259172496</v>
      </c>
      <c r="D70" s="16">
        <f>'06 Sources &amp; Uses'!$B$4+'06 Sources &amp; Uses'!$B$5+'06 Sources &amp; Uses'!$B$6+'03 Assumptions'!$B$44+'03 Assumptions'!$B$25*D69-D69</f>
        <v>7034.2732759172495</v>
      </c>
      <c r="E70" s="16">
        <f>'06 Sources &amp; Uses'!$B$4+'06 Sources &amp; Uses'!$B$5+'06 Sources &amp; Uses'!$B$6+'03 Assumptions'!$B$44+'03 Assumptions'!$B$25*E69-E69</f>
        <v>6551.1120259172494</v>
      </c>
    </row>
    <row r="72" spans="1:5" x14ac:dyDescent="0.2">
      <c r="A72" s="8" t="s">
        <v>335</v>
      </c>
      <c r="C72" s="16">
        <f>'09 Operating Model'!G18+'08 Debt Schedule'!G28+'08 Debt Schedule'!G29+(-'03 Assumptions'!$B$34*MAX(0,'09 Operating Model'!G18+'09 Operating Model'!G10-MIN((('03 Assumptions'!$B$26+'03 Assumptions'!$B$27)*C$69*'03 Assumptions'!$B$36+'03 Assumptions'!$B$28*C$69*'03 Assumptions'!$B$37+'03 Assumptions'!$B$29*C$69*(1-'03 Assumptions'!$B$36-'03 Assumptions'!$B$37)+'03 Assumptions'!$B$30*'03 Assumptions'!$B$31),'03 Assumptions'!$B$45*'09 Operating Model'!G18)))-(('03 Assumptions'!$B$26+'03 Assumptions'!$B$27)*C$69*'03 Assumptions'!$B$36+'03 Assumptions'!$B$28*C$69*'03 Assumptions'!$B$37+'03 Assumptions'!$B$29*C$69*(1-'03 Assumptions'!$B$36-'03 Assumptions'!$B$37)+'03 Assumptions'!$B$30*'03 Assumptions'!$B$31)-'03 Assumptions'!$F$13</f>
        <v>167.51738447840012</v>
      </c>
      <c r="D72" s="16">
        <f>'09 Operating Model'!G18+'08 Debt Schedule'!G28+'08 Debt Schedule'!G29+(-'03 Assumptions'!$B$34*MAX(0,'09 Operating Model'!G18+'09 Operating Model'!G10-MIN((('03 Assumptions'!$B$26+'03 Assumptions'!$B$27)*D$69*'03 Assumptions'!$B$36+'03 Assumptions'!$B$28*D$69*'03 Assumptions'!$B$37+'03 Assumptions'!$B$29*D$69*(1-'03 Assumptions'!$B$36-'03 Assumptions'!$B$37)+'03 Assumptions'!$B$30*'03 Assumptions'!$B$31),'03 Assumptions'!$B$45*'09 Operating Model'!G18)))-(('03 Assumptions'!$B$26+'03 Assumptions'!$B$27)*D$69*'03 Assumptions'!$B$36+'03 Assumptions'!$B$28*D$69*'03 Assumptions'!$B$37+'03 Assumptions'!$B$29*D$69*(1-'03 Assumptions'!$B$36-'03 Assumptions'!$B$37)+'03 Assumptions'!$B$30*'03 Assumptions'!$B$31)-'03 Assumptions'!$F$13</f>
        <v>139.15811033360001</v>
      </c>
      <c r="E72" s="16">
        <f>'09 Operating Model'!G18+'08 Debt Schedule'!G28+'08 Debt Schedule'!G29+(-'03 Assumptions'!$B$34*MAX(0,'09 Operating Model'!G18+'09 Operating Model'!G10-MIN((('03 Assumptions'!$B$26+'03 Assumptions'!$B$27)*E$69*'03 Assumptions'!$B$36+'03 Assumptions'!$B$28*E$69*'03 Assumptions'!$B$37+'03 Assumptions'!$B$29*E$69*(1-'03 Assumptions'!$B$36-'03 Assumptions'!$B$37)+'03 Assumptions'!$B$30*'03 Assumptions'!$B$31),'03 Assumptions'!$B$45*'09 Operating Model'!G18)))-(('03 Assumptions'!$B$26+'03 Assumptions'!$B$27)*E$69*'03 Assumptions'!$B$36+'03 Assumptions'!$B$28*E$69*'03 Assumptions'!$B$37+'03 Assumptions'!$B$29*E$69*(1-'03 Assumptions'!$B$36-'03 Assumptions'!$B$37)+'03 Assumptions'!$B$30*'03 Assumptions'!$B$31)-'03 Assumptions'!$F$13</f>
        <v>107.71546283360004</v>
      </c>
    </row>
    <row r="73" spans="1:5" x14ac:dyDescent="0.2">
      <c r="A73" s="8" t="s">
        <v>336</v>
      </c>
      <c r="C73" s="16">
        <f>'09 Operating Model'!H18+'08 Debt Schedule'!H28+'08 Debt Schedule'!H29+(-'03 Assumptions'!$B$34*MAX(0,'09 Operating Model'!H18+'09 Operating Model'!H10-MIN((('03 Assumptions'!$B$26+'03 Assumptions'!$B$27)*C78+'03 Assumptions'!$B$28*C84+'03 Assumptions'!$B$29*C$69*(1-'03 Assumptions'!$B$36-'03 Assumptions'!$B$37)+'03 Assumptions'!$B$30*'03 Assumptions'!$B$31),'03 Assumptions'!$B$45*'09 Operating Model'!H18)))-(('03 Assumptions'!$B$26+'03 Assumptions'!$B$27)*C78+'03 Assumptions'!$B$28*C84+'03 Assumptions'!$B$29*C$69*(1-'03 Assumptions'!$B$36-'03 Assumptions'!$B$37)+'03 Assumptions'!$B$30*'03 Assumptions'!$B$31)-'03 Assumptions'!$F$13</f>
        <v>279.59133416346367</v>
      </c>
      <c r="D73" s="16">
        <f>'09 Operating Model'!H18+'08 Debt Schedule'!H28+'08 Debt Schedule'!H29+(-'03 Assumptions'!$B$34*MAX(0,'09 Operating Model'!H18+'09 Operating Model'!H10-MIN((('03 Assumptions'!$B$26+'03 Assumptions'!$B$27)*D78+'03 Assumptions'!$B$28*D84+'03 Assumptions'!$B$29*D$69*(1-'03 Assumptions'!$B$36-'03 Assumptions'!$B$37)+'03 Assumptions'!$B$30*'03 Assumptions'!$B$31),'03 Assumptions'!$B$45*'09 Operating Model'!H18)))-(('03 Assumptions'!$B$26+'03 Assumptions'!$B$27)*D78+'03 Assumptions'!$B$28*D84+'03 Assumptions'!$B$29*D$69*(1-'03 Assumptions'!$B$36-'03 Assumptions'!$B$37)+'03 Assumptions'!$B$30*'03 Assumptions'!$B$31)-'03 Assumptions'!$F$13</f>
        <v>254.44355950858585</v>
      </c>
      <c r="E73" s="16">
        <f>'09 Operating Model'!H18+'08 Debt Schedule'!H28+'08 Debt Schedule'!H29+(-'03 Assumptions'!$B$34*MAX(0,'09 Operating Model'!H18+'09 Operating Model'!H10-MIN((('03 Assumptions'!$B$26+'03 Assumptions'!$B$27)*E78+'03 Assumptions'!$B$28*E84+'03 Assumptions'!$B$29*E$69*(1-'03 Assumptions'!$B$36-'03 Assumptions'!$B$37)+'03 Assumptions'!$B$30*'03 Assumptions'!$B$31),'03 Assumptions'!$B$45*'09 Operating Model'!H18)))-(('03 Assumptions'!$B$26+'03 Assumptions'!$B$27)*E78+'03 Assumptions'!$B$28*E84+'03 Assumptions'!$B$29*E$69*(1-'03 Assumptions'!$B$36-'03 Assumptions'!$B$37)+'03 Assumptions'!$B$30*'03 Assumptions'!$B$31)-'03 Assumptions'!$F$13</f>
        <v>228.92140003472764</v>
      </c>
    </row>
    <row r="74" spans="1:5" x14ac:dyDescent="0.2">
      <c r="A74" s="8" t="s">
        <v>337</v>
      </c>
      <c r="C74" s="16">
        <f>'09 Operating Model'!I18+'08 Debt Schedule'!I28+'08 Debt Schedule'!I29+(-'03 Assumptions'!$B$34*MAX(0,'09 Operating Model'!I18+'09 Operating Model'!I10-MIN((('03 Assumptions'!$B$26+'03 Assumptions'!$B$27)*C79+'03 Assumptions'!$B$28*C85+'03 Assumptions'!$B$29*C$69*(1-'03 Assumptions'!$B$36-'03 Assumptions'!$B$37)+'03 Assumptions'!$B$30*'03 Assumptions'!$B$31),'03 Assumptions'!$B$45*'09 Operating Model'!I18)))-(('03 Assumptions'!$B$26+'03 Assumptions'!$B$27)*C79+'03 Assumptions'!$B$28*C85+'03 Assumptions'!$B$29*C$69*(1-'03 Assumptions'!$B$36-'03 Assumptions'!$B$37)+'03 Assumptions'!$B$30*'03 Assumptions'!$B$31)-'03 Assumptions'!$F$13</f>
        <v>405.70739585237391</v>
      </c>
      <c r="D74" s="16">
        <f>'09 Operating Model'!I18+'08 Debt Schedule'!I28+'08 Debt Schedule'!I29+(-'03 Assumptions'!$B$34*MAX(0,'09 Operating Model'!I18+'09 Operating Model'!I10-MIN((('03 Assumptions'!$B$26+'03 Assumptions'!$B$27)*D79+'03 Assumptions'!$B$28*D85+'03 Assumptions'!$B$29*D$69*(1-'03 Assumptions'!$B$36-'03 Assumptions'!$B$37)+'03 Assumptions'!$B$30*'03 Assumptions'!$B$31),'03 Assumptions'!$B$45*'09 Operating Model'!I18)))-(('03 Assumptions'!$B$26+'03 Assumptions'!$B$27)*D79+'03 Assumptions'!$B$28*D85+'03 Assumptions'!$B$29*D$69*(1-'03 Assumptions'!$B$36-'03 Assumptions'!$B$37)+'03 Assumptions'!$B$30*'03 Assumptions'!$B$31)-'03 Assumptions'!$F$13</f>
        <v>379.45104190994016</v>
      </c>
      <c r="E74" s="16">
        <f>'09 Operating Model'!I18+'08 Debt Schedule'!I28+'08 Debt Schedule'!I29+(-'03 Assumptions'!$B$34*MAX(0,'09 Operating Model'!I18+'09 Operating Model'!I10-MIN((('03 Assumptions'!$B$26+'03 Assumptions'!$B$27)*E79+'03 Assumptions'!$B$28*E85+'03 Assumptions'!$B$29*E$69*(1-'03 Assumptions'!$B$36-'03 Assumptions'!$B$37)+'03 Assumptions'!$B$30*'03 Assumptions'!$B$31),'03 Assumptions'!$B$45*'09 Operating Model'!I18)))-(('03 Assumptions'!$B$26+'03 Assumptions'!$B$27)*E79+'03 Assumptions'!$B$28*E85+'03 Assumptions'!$B$29*E$69*(1-'03 Assumptions'!$B$36-'03 Assumptions'!$B$37)+'03 Assumptions'!$B$30*'03 Assumptions'!$B$31)-'03 Assumptions'!$F$13</f>
        <v>353.0409560390824</v>
      </c>
    </row>
    <row r="75" spans="1:5" x14ac:dyDescent="0.2">
      <c r="A75" s="8" t="s">
        <v>338</v>
      </c>
      <c r="C75" s="16">
        <f>'09 Operating Model'!J18+'08 Debt Schedule'!J28+'08 Debt Schedule'!J29+(-'03 Assumptions'!$B$34*MAX(0,'09 Operating Model'!J18+'09 Operating Model'!J10-MIN((('03 Assumptions'!$B$26+'03 Assumptions'!$B$27)*C80+'03 Assumptions'!$B$28*C86+'03 Assumptions'!$B$29*C$69*(1-'03 Assumptions'!$B$36-'03 Assumptions'!$B$37)+'03 Assumptions'!$B$30*'03 Assumptions'!$B$31),'03 Assumptions'!$B$45*'09 Operating Model'!J18)))-(('03 Assumptions'!$B$26+'03 Assumptions'!$B$27)*C80+'03 Assumptions'!$B$28*C86+'03 Assumptions'!$B$29*C$69*(1-'03 Assumptions'!$B$36-'03 Assumptions'!$B$37)+'03 Assumptions'!$B$30*'03 Assumptions'!$B$31)-'03 Assumptions'!$F$13</f>
        <v>523.31718767910888</v>
      </c>
      <c r="D75" s="16">
        <f>'09 Operating Model'!J18+'08 Debt Schedule'!J28+'08 Debt Schedule'!J29+(-'03 Assumptions'!$B$34*MAX(0,'09 Operating Model'!J18+'09 Operating Model'!J10-MIN((('03 Assumptions'!$B$26+'03 Assumptions'!$B$27)*D80+'03 Assumptions'!$B$28*D86+'03 Assumptions'!$B$29*D$69*(1-'03 Assumptions'!$B$36-'03 Assumptions'!$B$37)+'03 Assumptions'!$B$30*'03 Assumptions'!$B$31),'03 Assumptions'!$B$45*'09 Operating Model'!J18)))-(('03 Assumptions'!$B$26+'03 Assumptions'!$B$27)*D80+'03 Assumptions'!$B$28*D86+'03 Assumptions'!$B$29*D$69*(1-'03 Assumptions'!$B$36-'03 Assumptions'!$B$37)+'03 Assumptions'!$B$30*'03 Assumptions'!$B$31)-'03 Assumptions'!$F$13</f>
        <v>495.90296701399438</v>
      </c>
      <c r="E75" s="16">
        <f>'09 Operating Model'!J18+'08 Debt Schedule'!J28+'08 Debt Schedule'!J29+(-'03 Assumptions'!$B$34*MAX(0,'09 Operating Model'!J18+'09 Operating Model'!J10-MIN((('03 Assumptions'!$B$26+'03 Assumptions'!$B$27)*E80+'03 Assumptions'!$B$28*E86+'03 Assumptions'!$B$29*E$69*(1-'03 Assumptions'!$B$36-'03 Assumptions'!$B$37)+'03 Assumptions'!$B$30*'03 Assumptions'!$B$31),'03 Assumptions'!$B$45*'09 Operating Model'!J18)))-(('03 Assumptions'!$B$26+'03 Assumptions'!$B$27)*E80+'03 Assumptions'!$B$28*E86+'03 Assumptions'!$B$29*E$69*(1-'03 Assumptions'!$B$36-'03 Assumptions'!$B$37)+'03 Assumptions'!$B$30*'03 Assumptions'!$B$31)-'03 Assumptions'!$F$13</f>
        <v>468.32817949891842</v>
      </c>
    </row>
    <row r="76" spans="1:5" x14ac:dyDescent="0.2">
      <c r="A76" s="8" t="s">
        <v>339</v>
      </c>
      <c r="C76" s="16">
        <f>'09 Operating Model'!K18+'08 Debt Schedule'!K28+'08 Debt Schedule'!K29+(-'03 Assumptions'!$B$34*MAX(0,'09 Operating Model'!K18+'09 Operating Model'!K10-MIN((('03 Assumptions'!$B$26+'03 Assumptions'!$B$27)*C81+'03 Assumptions'!$B$28*C87+'03 Assumptions'!$B$29*C$69*(1-'03 Assumptions'!$B$36-'03 Assumptions'!$B$37)+'03 Assumptions'!$B$30*'03 Assumptions'!$B$31),'03 Assumptions'!$B$45*'09 Operating Model'!K18)))-(('03 Assumptions'!$B$26+'03 Assumptions'!$B$27)*C81+'03 Assumptions'!$B$28*C87+'03 Assumptions'!$B$29*C$69*(1-'03 Assumptions'!$B$36-'03 Assumptions'!$B$37)+'03 Assumptions'!$B$30*'03 Assumptions'!$B$31)-'03 Assumptions'!$F$13</f>
        <v>639.40103424454128</v>
      </c>
      <c r="D76" s="16">
        <f>'09 Operating Model'!K18+'08 Debt Schedule'!K28+'08 Debt Schedule'!K29+(-'03 Assumptions'!$B$34*MAX(0,'09 Operating Model'!K18+'09 Operating Model'!K10-MIN((('03 Assumptions'!$B$26+'03 Assumptions'!$B$27)*D81+'03 Assumptions'!$B$28*D87+'03 Assumptions'!$B$29*D$69*(1-'03 Assumptions'!$B$36-'03 Assumptions'!$B$37)+'03 Assumptions'!$B$30*'03 Assumptions'!$B$31),'03 Assumptions'!$B$45*'09 Operating Model'!K18)))-(('03 Assumptions'!$B$26+'03 Assumptions'!$B$27)*D81+'03 Assumptions'!$B$28*D87+'03 Assumptions'!$B$29*D$69*(1-'03 Assumptions'!$B$36-'03 Assumptions'!$B$37)+'03 Assumptions'!$B$30*'03 Assumptions'!$B$31)-'03 Assumptions'!$F$13</f>
        <v>610.77746810225608</v>
      </c>
      <c r="E76" s="16">
        <f>'09 Operating Model'!K18+'08 Debt Schedule'!K28+'08 Debt Schedule'!K29+(-'03 Assumptions'!$B$34*MAX(0,'09 Operating Model'!K18+'09 Operating Model'!K10-MIN((('03 Assumptions'!$B$26+'03 Assumptions'!$B$27)*E81+'03 Assumptions'!$B$28*E87+'03 Assumptions'!$B$29*E$69*(1-'03 Assumptions'!$B$36-'03 Assumptions'!$B$37)+'03 Assumptions'!$B$30*'03 Assumptions'!$B$31),'03 Assumptions'!$B$45*'09 Operating Model'!K18)))-(('03 Assumptions'!$B$26+'03 Assumptions'!$B$27)*E81+'03 Assumptions'!$B$28*E87+'03 Assumptions'!$B$29*E$69*(1-'03 Assumptions'!$B$36-'03 Assumptions'!$B$37)+'03 Assumptions'!$B$30*'03 Assumptions'!$B$31)-'03 Assumptions'!$F$13</f>
        <v>581.9861963078597</v>
      </c>
    </row>
    <row r="78" spans="1:5" x14ac:dyDescent="0.2">
      <c r="A78" s="8" t="s">
        <v>340</v>
      </c>
      <c r="C78" s="16">
        <f>C$69*'03 Assumptions'!$B$36-MIN(C$69*'03 Assumptions'!$B$36,C$69*'03 Assumptions'!$B$36*'03 Assumptions'!$B$38)-MIN(C$69*'03 Assumptions'!$B$36-MIN(C$69*'03 Assumptions'!$B$36,C$69*'03 Assumptions'!$B$36*'03 Assumptions'!$B$38),MAX(0,C72-MIN(C$69*'03 Assumptions'!$B$36,C$69*'03 Assumptions'!$B$36*'03 Assumptions'!$B$38)-MIN(C$69*'03 Assumptions'!$B$37,C$69*'03 Assumptions'!$B$37*'03 Assumptions'!$B$38)))</f>
        <v>2566.9275155215996</v>
      </c>
      <c r="D78" s="16">
        <f>D$69*'03 Assumptions'!$B$36-MIN(D$69*'03 Assumptions'!$B$36,D$69*'03 Assumptions'!$B$36*'03 Assumptions'!$B$38)-MIN(D$69*'03 Assumptions'!$B$36-MIN(D$69*'03 Assumptions'!$B$36,D$69*'03 Assumptions'!$B$36*'03 Assumptions'!$B$38),MAX(0,D72-MIN(D$69*'03 Assumptions'!$B$36,D$69*'03 Assumptions'!$B$36*'03 Assumptions'!$B$38)-MIN(D$69*'03 Assumptions'!$B$37,D$69*'03 Assumptions'!$B$37*'03 Assumptions'!$B$38)))</f>
        <v>2868.7312796664005</v>
      </c>
      <c r="E78" s="16">
        <f>E$69*'03 Assumptions'!$B$36-MIN(E$69*'03 Assumptions'!$B$36,E$69*'03 Assumptions'!$B$36*'03 Assumptions'!$B$38)-MIN(E$69*'03 Assumptions'!$B$36-MIN(E$69*'03 Assumptions'!$B$36,E$69*'03 Assumptions'!$B$36*'03 Assumptions'!$B$38),MAX(0,E72-MIN(E$69*'03 Assumptions'!$B$36,E$69*'03 Assumptions'!$B$36*'03 Assumptions'!$B$38)-MIN(E$69*'03 Assumptions'!$B$37,E$69*'03 Assumptions'!$B$37*'03 Assumptions'!$B$38)))</f>
        <v>3173.6184171664008</v>
      </c>
    </row>
    <row r="79" spans="1:5" x14ac:dyDescent="0.2">
      <c r="A79" s="8" t="s">
        <v>341</v>
      </c>
      <c r="C79" s="16">
        <f>C78-MIN(C78,C$69*'03 Assumptions'!$B$36*'03 Assumptions'!$B$38)-MIN(C78-MIN(C78,C$69*'03 Assumptions'!$B$36*'03 Assumptions'!$B$38),MAX(0,C73-MIN(C78,C$69*'03 Assumptions'!$B$36*'03 Assumptions'!$B$38)-MIN(C84,C$69*'03 Assumptions'!$B$37*'03 Assumptions'!$B$38)))</f>
        <v>2296.2560813581358</v>
      </c>
      <c r="D79" s="16">
        <f>D78-MIN(D78,D$69*'03 Assumptions'!$B$36*'03 Assumptions'!$B$38)-MIN(D78-MIN(D78,D$69*'03 Assumptions'!$B$36*'03 Assumptions'!$B$38),MAX(0,D73-MIN(D78,D$69*'03 Assumptions'!$B$36*'03 Assumptions'!$B$38)-MIN(D84,D$69*'03 Assumptions'!$B$37*'03 Assumptions'!$B$38)))</f>
        <v>2624.0996101578148</v>
      </c>
      <c r="E79" s="16">
        <f>E78-MIN(E78,E$69*'03 Assumptions'!$B$36*'03 Assumptions'!$B$38)-MIN(E78-MIN(E78,E$69*'03 Assumptions'!$B$36*'03 Assumptions'!$B$38),MAX(0,E73-MIN(E78,E$69*'03 Assumptions'!$B$36*'03 Assumptions'!$B$38)-MIN(E84,E$69*'03 Assumptions'!$B$37*'03 Assumptions'!$B$38)))</f>
        <v>2955.4008971316734</v>
      </c>
    </row>
    <row r="80" spans="1:5" x14ac:dyDescent="0.2">
      <c r="A80" s="8" t="s">
        <v>342</v>
      </c>
      <c r="C80" s="16">
        <f>C79-MIN(C79,C$69*'03 Assumptions'!$B$36*'03 Assumptions'!$B$38)-MIN(C79-MIN(C79,C$69*'03 Assumptions'!$B$36*'03 Assumptions'!$B$38),MAX(0,C74-MIN(C79,C$69*'03 Assumptions'!$B$36*'03 Assumptions'!$B$38)-MIN(C85,C$69*'03 Assumptions'!$B$37*'03 Assumptions'!$B$38)))</f>
        <v>1899.4685855057617</v>
      </c>
      <c r="D80" s="16">
        <f>D79-MIN(D79,D$69*'03 Assumptions'!$B$36*'03 Assumptions'!$B$38)-MIN(D79-MIN(D79,D$69*'03 Assumptions'!$B$36*'03 Assumptions'!$B$38),MAX(0,D74-MIN(D79,D$69*'03 Assumptions'!$B$36*'03 Assumptions'!$B$38)-MIN(D85,D$69*'03 Assumptions'!$B$37*'03 Assumptions'!$B$38)))</f>
        <v>2254.4604582478746</v>
      </c>
      <c r="E80" s="16">
        <f>E79-MIN(E79,E$69*'03 Assumptions'!$B$36*'03 Assumptions'!$B$38)-MIN(E79-MIN(E79,E$69*'03 Assumptions'!$B$36*'03 Assumptions'!$B$38),MAX(0,E74-MIN(E79,E$69*'03 Assumptions'!$B$36*'03 Assumptions'!$B$38)-MIN(E85,E$69*'03 Assumptions'!$B$37*'03 Assumptions'!$B$38)))</f>
        <v>2613.0638210925913</v>
      </c>
    </row>
    <row r="81" spans="1:5" x14ac:dyDescent="0.2">
      <c r="A81" s="8" t="s">
        <v>343</v>
      </c>
      <c r="C81" s="16">
        <f>C80-MIN(C80,C$69*'03 Assumptions'!$B$36*'03 Assumptions'!$B$38)-MIN(C80-MIN(C80,C$69*'03 Assumptions'!$B$36*'03 Assumptions'!$B$38),MAX(0,C75-MIN(C80,C$69*'03 Assumptions'!$B$36*'03 Assumptions'!$B$38)-MIN(C86,C$69*'03 Assumptions'!$B$37*'03 Assumptions'!$B$38)))</f>
        <v>1385.0712978266529</v>
      </c>
      <c r="D81" s="16">
        <f>D80-MIN(D80,D$69*'03 Assumptions'!$B$36*'03 Assumptions'!$B$38)-MIN(D80-MIN(D80,D$69*'03 Assumptions'!$B$36*'03 Assumptions'!$B$38),MAX(0,D75-MIN(D80,D$69*'03 Assumptions'!$B$36*'03 Assumptions'!$B$38)-MIN(D86,D$69*'03 Assumptions'!$B$37*'03 Assumptions'!$B$38)))</f>
        <v>1768.3693812338802</v>
      </c>
      <c r="E81" s="16">
        <f>E80-MIN(E80,E$69*'03 Assumptions'!$B$36*'03 Assumptions'!$B$38)-MIN(E80-MIN(E80,E$69*'03 Assumptions'!$B$36*'03 Assumptions'!$B$38),MAX(0,E75-MIN(E80,E$69*'03 Assumptions'!$B$36*'03 Assumptions'!$B$38)-MIN(E86,E$69*'03 Assumptions'!$B$37*'03 Assumptions'!$B$38)))</f>
        <v>2155.4395215936729</v>
      </c>
    </row>
    <row r="82" spans="1:5" x14ac:dyDescent="0.2">
      <c r="A82" s="8" t="s">
        <v>344</v>
      </c>
      <c r="C82" s="16">
        <f>C81-MIN(C81,C$69*'03 Assumptions'!$B$36*'03 Assumptions'!$B$38)-MIN(C81-MIN(C81,C$69*'03 Assumptions'!$B$36*'03 Assumptions'!$B$38),MAX(0,C76-MIN(C81,C$69*'03 Assumptions'!$B$36*'03 Assumptions'!$B$38)-MIN(C87,C$69*'03 Assumptions'!$B$37*'03 Assumptions'!$B$38)))</f>
        <v>754.5901635821117</v>
      </c>
      <c r="D82" s="16">
        <f>D81-MIN(D81,D$69*'03 Assumptions'!$B$36*'03 Assumptions'!$B$38)-MIN(D81-MIN(D81,D$69*'03 Assumptions'!$B$36*'03 Assumptions'!$B$38),MAX(0,D76-MIN(D81,D$69*'03 Assumptions'!$B$36*'03 Assumptions'!$B$38)-MIN(D87,D$69*'03 Assumptions'!$B$37*'03 Assumptions'!$B$38)))</f>
        <v>1167.403803131624</v>
      </c>
      <c r="E82" s="16">
        <f>E81-MIN(E81,E$69*'03 Assumptions'!$B$36*'03 Assumptions'!$B$38)-MIN(E81-MIN(E81,E$69*'03 Assumptions'!$B$36*'03 Assumptions'!$B$38),MAX(0,E76-MIN(E81,E$69*'03 Assumptions'!$B$36*'03 Assumptions'!$B$38)-MIN(E87,E$69*'03 Assumptions'!$B$37*'03 Assumptions'!$B$38)))</f>
        <v>1584.1572052858135</v>
      </c>
    </row>
    <row r="84" spans="1:5" x14ac:dyDescent="0.2">
      <c r="A84" s="8" t="s">
        <v>345</v>
      </c>
      <c r="C84" s="16">
        <f>C$69*'03 Assumptions'!$B$37-MIN(C$69*'03 Assumptions'!$B$37,C$69*'03 Assumptions'!$B$37*'03 Assumptions'!$B$38)-MIN(C$69*'03 Assumptions'!$B$37-MIN(C$69*'03 Assumptions'!$B$37,C$69*'03 Assumptions'!$B$37*'03 Assumptions'!$B$38),MAX(0,MAX(0,C72-MIN(C$69*'03 Assumptions'!$B$36,C$69*'03 Assumptions'!$B$36*'03 Assumptions'!$B$38)-MIN(C$69*'03 Assumptions'!$B$37,C$69*'03 Assumptions'!$B$37*'03 Assumptions'!$B$38))-(C$69*'03 Assumptions'!$B$36-MIN(C$69*'03 Assumptions'!$B$36,C$69*'03 Assumptions'!$B$36*'03 Assumptions'!$B$38))))</f>
        <v>883.07010000000002</v>
      </c>
      <c r="D84" s="16">
        <f>D$69*'03 Assumptions'!$B$37-MIN(D$69*'03 Assumptions'!$B$37,D$69*'03 Assumptions'!$B$37*'03 Assumptions'!$B$38)-MIN(D$69*'03 Assumptions'!$B$37-MIN(D$69*'03 Assumptions'!$B$37,D$69*'03 Assumptions'!$B$37*'03 Assumptions'!$B$38),MAX(0,MAX(0,D72-MIN(D$69*'03 Assumptions'!$B$36,D$69*'03 Assumptions'!$B$36*'03 Assumptions'!$B$38)-MIN(D$69*'03 Assumptions'!$B$37,D$69*'03 Assumptions'!$B$37*'03 Assumptions'!$B$38))-(D$69*'03 Assumptions'!$B$36-MIN(D$69*'03 Assumptions'!$B$36,D$69*'03 Assumptions'!$B$36*'03 Assumptions'!$B$38))))</f>
        <v>971.37711000000002</v>
      </c>
      <c r="E84" s="16">
        <f>E$69*'03 Assumptions'!$B$37-MIN(E$69*'03 Assumptions'!$B$37,E$69*'03 Assumptions'!$B$37*'03 Assumptions'!$B$38)-MIN(E$69*'03 Assumptions'!$B$37-MIN(E$69*'03 Assumptions'!$B$37,E$69*'03 Assumptions'!$B$37*'03 Assumptions'!$B$38),MAX(0,MAX(0,E72-MIN(E$69*'03 Assumptions'!$B$36,E$69*'03 Assumptions'!$B$36*'03 Assumptions'!$B$38)-MIN(E$69*'03 Assumptions'!$B$37,E$69*'03 Assumptions'!$B$37*'03 Assumptions'!$B$38))-(E$69*'03 Assumptions'!$B$36-MIN(E$69*'03 Assumptions'!$B$36,E$69*'03 Assumptions'!$B$36*'03 Assumptions'!$B$38))))</f>
        <v>1059.6841199999999</v>
      </c>
    </row>
    <row r="85" spans="1:5" x14ac:dyDescent="0.2">
      <c r="A85" s="8" t="s">
        <v>346</v>
      </c>
      <c r="C85" s="16">
        <f>C84-MIN(C84,C$69*'03 Assumptions'!$B$37*'03 Assumptions'!$B$38)-MIN(C84-MIN(C84,C$69*'03 Assumptions'!$B$37*'03 Assumptions'!$B$38),MAX(0,MAX(0,C73-MIN(C78,C$69*'03 Assumptions'!$B$36*'03 Assumptions'!$B$38)-MIN(C84,C$69*'03 Assumptions'!$B$37*'03 Assumptions'!$B$38))-(C78-MIN(C78,C$69*'03 Assumptions'!$B$36*'03 Assumptions'!$B$38))))</f>
        <v>874.15020000000004</v>
      </c>
      <c r="D85" s="16">
        <f>D84-MIN(D84,D$69*'03 Assumptions'!$B$37*'03 Assumptions'!$B$38)-MIN(D84-MIN(D84,D$69*'03 Assumptions'!$B$37*'03 Assumptions'!$B$38),MAX(0,MAX(0,D73-MIN(D78,D$69*'03 Assumptions'!$B$36*'03 Assumptions'!$B$38)-MIN(D84,D$69*'03 Assumptions'!$B$37*'03 Assumptions'!$B$38))-(D78-MIN(D78,D$69*'03 Assumptions'!$B$36*'03 Assumptions'!$B$38))))</f>
        <v>961.56522000000007</v>
      </c>
      <c r="E85" s="16">
        <f>E84-MIN(E84,E$69*'03 Assumptions'!$B$37*'03 Assumptions'!$B$38)-MIN(E84-MIN(E84,E$69*'03 Assumptions'!$B$37*'03 Assumptions'!$B$38),MAX(0,MAX(0,E73-MIN(E78,E$69*'03 Assumptions'!$B$36*'03 Assumptions'!$B$38)-MIN(E84,E$69*'03 Assumptions'!$B$37*'03 Assumptions'!$B$38))-(E78-MIN(E78,E$69*'03 Assumptions'!$B$36*'03 Assumptions'!$B$38))))</f>
        <v>1048.9802399999999</v>
      </c>
    </row>
    <row r="86" spans="1:5" x14ac:dyDescent="0.2">
      <c r="A86" s="8" t="s">
        <v>347</v>
      </c>
      <c r="C86" s="16">
        <f>C85-MIN(C85,C$69*'03 Assumptions'!$B$37*'03 Assumptions'!$B$38)-MIN(C85-MIN(C85,C$69*'03 Assumptions'!$B$37*'03 Assumptions'!$B$38),MAX(0,MAX(0,C74-MIN(C79,C$69*'03 Assumptions'!$B$36*'03 Assumptions'!$B$38)-MIN(C85,C$69*'03 Assumptions'!$B$37*'03 Assumptions'!$B$38))-(C79-MIN(C79,C$69*'03 Assumptions'!$B$36*'03 Assumptions'!$B$38))))</f>
        <v>865.23030000000006</v>
      </c>
      <c r="D86" s="16">
        <f>D85-MIN(D85,D$69*'03 Assumptions'!$B$37*'03 Assumptions'!$B$38)-MIN(D85-MIN(D85,D$69*'03 Assumptions'!$B$37*'03 Assumptions'!$B$38),MAX(0,MAX(0,D74-MIN(D79,D$69*'03 Assumptions'!$B$36*'03 Assumptions'!$B$38)-MIN(D85,D$69*'03 Assumptions'!$B$37*'03 Assumptions'!$B$38))-(D79-MIN(D79,D$69*'03 Assumptions'!$B$36*'03 Assumptions'!$B$38))))</f>
        <v>951.75333000000012</v>
      </c>
      <c r="E86" s="16">
        <f>E85-MIN(E85,E$69*'03 Assumptions'!$B$37*'03 Assumptions'!$B$38)-MIN(E85-MIN(E85,E$69*'03 Assumptions'!$B$37*'03 Assumptions'!$B$38),MAX(0,MAX(0,E74-MIN(E79,E$69*'03 Assumptions'!$B$36*'03 Assumptions'!$B$38)-MIN(E85,E$69*'03 Assumptions'!$B$37*'03 Assumptions'!$B$38))-(E79-MIN(E79,E$69*'03 Assumptions'!$B$36*'03 Assumptions'!$B$38))))</f>
        <v>1038.2763599999998</v>
      </c>
    </row>
    <row r="87" spans="1:5" x14ac:dyDescent="0.2">
      <c r="A87" s="8" t="s">
        <v>348</v>
      </c>
      <c r="C87" s="16">
        <f>C86-MIN(C86,C$69*'03 Assumptions'!$B$37*'03 Assumptions'!$B$38)-MIN(C86-MIN(C86,C$69*'03 Assumptions'!$B$37*'03 Assumptions'!$B$38),MAX(0,MAX(0,C75-MIN(C80,C$69*'03 Assumptions'!$B$36*'03 Assumptions'!$B$38)-MIN(C86,C$69*'03 Assumptions'!$B$37*'03 Assumptions'!$B$38))-(C80-MIN(C80,C$69*'03 Assumptions'!$B$36*'03 Assumptions'!$B$38))))</f>
        <v>856.31040000000007</v>
      </c>
      <c r="D87" s="16">
        <f>D86-MIN(D86,D$69*'03 Assumptions'!$B$37*'03 Assumptions'!$B$38)-MIN(D86-MIN(D86,D$69*'03 Assumptions'!$B$37*'03 Assumptions'!$B$38),MAX(0,MAX(0,D75-MIN(D80,D$69*'03 Assumptions'!$B$36*'03 Assumptions'!$B$38)-MIN(D86,D$69*'03 Assumptions'!$B$37*'03 Assumptions'!$B$38))-(D80-MIN(D80,D$69*'03 Assumptions'!$B$36*'03 Assumptions'!$B$38))))</f>
        <v>941.94144000000017</v>
      </c>
      <c r="E87" s="16">
        <f>E86-MIN(E86,E$69*'03 Assumptions'!$B$37*'03 Assumptions'!$B$38)-MIN(E86-MIN(E86,E$69*'03 Assumptions'!$B$37*'03 Assumptions'!$B$38),MAX(0,MAX(0,E75-MIN(E80,E$69*'03 Assumptions'!$B$36*'03 Assumptions'!$B$38)-MIN(E86,E$69*'03 Assumptions'!$B$37*'03 Assumptions'!$B$38))-(E80-MIN(E80,E$69*'03 Assumptions'!$B$36*'03 Assumptions'!$B$38))))</f>
        <v>1027.5724799999998</v>
      </c>
    </row>
    <row r="88" spans="1:5" x14ac:dyDescent="0.2">
      <c r="A88" s="8" t="s">
        <v>349</v>
      </c>
      <c r="C88" s="16">
        <f>C87-MIN(C87,C$69*'03 Assumptions'!$B$37*'03 Assumptions'!$B$38)-MIN(C87-MIN(C87,C$69*'03 Assumptions'!$B$37*'03 Assumptions'!$B$38),MAX(0,MAX(0,C76-MIN(C81,C$69*'03 Assumptions'!$B$36*'03 Assumptions'!$B$38)-MIN(C87,C$69*'03 Assumptions'!$B$37*'03 Assumptions'!$B$38))-(C81-MIN(C81,C$69*'03 Assumptions'!$B$36*'03 Assumptions'!$B$38))))</f>
        <v>847.39050000000009</v>
      </c>
      <c r="D88" s="16">
        <f>D87-MIN(D87,D$69*'03 Assumptions'!$B$37*'03 Assumptions'!$B$38)-MIN(D87-MIN(D87,D$69*'03 Assumptions'!$B$37*'03 Assumptions'!$B$38),MAX(0,MAX(0,D76-MIN(D81,D$69*'03 Assumptions'!$B$36*'03 Assumptions'!$B$38)-MIN(D87,D$69*'03 Assumptions'!$B$37*'03 Assumptions'!$B$38))-(D81-MIN(D81,D$69*'03 Assumptions'!$B$36*'03 Assumptions'!$B$38))))</f>
        <v>932.12955000000022</v>
      </c>
      <c r="E88" s="16">
        <f>E87-MIN(E87,E$69*'03 Assumptions'!$B$37*'03 Assumptions'!$B$38)-MIN(E87-MIN(E87,E$69*'03 Assumptions'!$B$37*'03 Assumptions'!$B$38),MAX(0,MAX(0,E76-MIN(E81,E$69*'03 Assumptions'!$B$36*'03 Assumptions'!$B$38)-MIN(E87,E$69*'03 Assumptions'!$B$37*'03 Assumptions'!$B$38))-(E81-MIN(E81,E$69*'03 Assumptions'!$B$36*'03 Assumptions'!$B$38))))</f>
        <v>1016.8685999999998</v>
      </c>
    </row>
    <row r="90" spans="1:5" x14ac:dyDescent="0.2">
      <c r="A90" s="8" t="s">
        <v>350</v>
      </c>
      <c r="C90" s="16">
        <f>0+MAX(0,MAX(0,C72-MIN(C$69*'03 Assumptions'!$B$36,C$69*'03 Assumptions'!$B$36*'03 Assumptions'!$B$38)-MIN(C$69*'03 Assumptions'!$B$37,C$69*'03 Assumptions'!$B$37*'03 Assumptions'!$B$38))-(C$69*'03 Assumptions'!$B$36-MIN(C$69*'03 Assumptions'!$B$36,C$69*'03 Assumptions'!$B$36*'03 Assumptions'!$B$38))-(C$69*'03 Assumptions'!$B$37-MIN(C$69*'03 Assumptions'!$B$37,C$69*'03 Assumptions'!$B$37*'03 Assumptions'!$B$38)))</f>
        <v>0</v>
      </c>
      <c r="D90" s="16">
        <f>0+MAX(0,MAX(0,D72-MIN(D$69*'03 Assumptions'!$B$36,D$69*'03 Assumptions'!$B$36*'03 Assumptions'!$B$38)-MIN(D$69*'03 Assumptions'!$B$37,D$69*'03 Assumptions'!$B$37*'03 Assumptions'!$B$38))-(D$69*'03 Assumptions'!$B$36-MIN(D$69*'03 Assumptions'!$B$36,D$69*'03 Assumptions'!$B$36*'03 Assumptions'!$B$38))-(D$69*'03 Assumptions'!$B$37-MIN(D$69*'03 Assumptions'!$B$37,D$69*'03 Assumptions'!$B$37*'03 Assumptions'!$B$38)))</f>
        <v>0</v>
      </c>
      <c r="E90" s="16">
        <f>0+MAX(0,MAX(0,E72-MIN(E$69*'03 Assumptions'!$B$36,E$69*'03 Assumptions'!$B$36*'03 Assumptions'!$B$38)-MIN(E$69*'03 Assumptions'!$B$37,E$69*'03 Assumptions'!$B$37*'03 Assumptions'!$B$38))-(E$69*'03 Assumptions'!$B$36-MIN(E$69*'03 Assumptions'!$B$36,E$69*'03 Assumptions'!$B$36*'03 Assumptions'!$B$38))-(E$69*'03 Assumptions'!$B$37-MIN(E$69*'03 Assumptions'!$B$37,E$69*'03 Assumptions'!$B$37*'03 Assumptions'!$B$38)))</f>
        <v>0</v>
      </c>
    </row>
    <row r="91" spans="1:5" x14ac:dyDescent="0.2">
      <c r="A91" s="8" t="s">
        <v>351</v>
      </c>
      <c r="C91" s="16">
        <f>C90+MAX(0,MAX(0,C73-MIN(C78,C$69*'03 Assumptions'!$B$36*'03 Assumptions'!$B$38)-MIN(C84,C$69*'03 Assumptions'!$B$37*'03 Assumptions'!$B$38))-(C78-MIN(C78,C$69*'03 Assumptions'!$B$36*'03 Assumptions'!$B$38))-(C84-MIN(C84,C$69*'03 Assumptions'!$B$37*'03 Assumptions'!$B$38)))</f>
        <v>0</v>
      </c>
      <c r="D91" s="16">
        <f>D90+MAX(0,MAX(0,D73-MIN(D78,D$69*'03 Assumptions'!$B$36*'03 Assumptions'!$B$38)-MIN(D84,D$69*'03 Assumptions'!$B$37*'03 Assumptions'!$B$38))-(D78-MIN(D78,D$69*'03 Assumptions'!$B$36*'03 Assumptions'!$B$38))-(D84-MIN(D84,D$69*'03 Assumptions'!$B$37*'03 Assumptions'!$B$38)))</f>
        <v>0</v>
      </c>
      <c r="E91" s="16">
        <f>E90+MAX(0,MAX(0,E73-MIN(E78,E$69*'03 Assumptions'!$B$36*'03 Assumptions'!$B$38)-MIN(E84,E$69*'03 Assumptions'!$B$37*'03 Assumptions'!$B$38))-(E78-MIN(E78,E$69*'03 Assumptions'!$B$36*'03 Assumptions'!$B$38))-(E84-MIN(E84,E$69*'03 Assumptions'!$B$37*'03 Assumptions'!$B$38)))</f>
        <v>0</v>
      </c>
    </row>
    <row r="92" spans="1:5" x14ac:dyDescent="0.2">
      <c r="A92" s="8" t="s">
        <v>352</v>
      </c>
      <c r="C92" s="16">
        <f>C91+MAX(0,MAX(0,C74-MIN(C79,C$69*'03 Assumptions'!$B$36*'03 Assumptions'!$B$38)-MIN(C85,C$69*'03 Assumptions'!$B$37*'03 Assumptions'!$B$38))-(C79-MIN(C79,C$69*'03 Assumptions'!$B$36*'03 Assumptions'!$B$38))-(C85-MIN(C85,C$69*'03 Assumptions'!$B$37*'03 Assumptions'!$B$38)))</f>
        <v>0</v>
      </c>
      <c r="D92" s="16">
        <f>D91+MAX(0,MAX(0,D74-MIN(D79,D$69*'03 Assumptions'!$B$36*'03 Assumptions'!$B$38)-MIN(D85,D$69*'03 Assumptions'!$B$37*'03 Assumptions'!$B$38))-(D79-MIN(D79,D$69*'03 Assumptions'!$B$36*'03 Assumptions'!$B$38))-(D85-MIN(D85,D$69*'03 Assumptions'!$B$37*'03 Assumptions'!$B$38)))</f>
        <v>0</v>
      </c>
      <c r="E92" s="16">
        <f>E91+MAX(0,MAX(0,E74-MIN(E79,E$69*'03 Assumptions'!$B$36*'03 Assumptions'!$B$38)-MIN(E85,E$69*'03 Assumptions'!$B$37*'03 Assumptions'!$B$38))-(E79-MIN(E79,E$69*'03 Assumptions'!$B$36*'03 Assumptions'!$B$38))-(E85-MIN(E85,E$69*'03 Assumptions'!$B$37*'03 Assumptions'!$B$38)))</f>
        <v>0</v>
      </c>
    </row>
    <row r="93" spans="1:5" x14ac:dyDescent="0.2">
      <c r="A93" s="8" t="s">
        <v>353</v>
      </c>
      <c r="C93" s="16">
        <f>C92+MAX(0,MAX(0,C75-MIN(C80,C$69*'03 Assumptions'!$B$36*'03 Assumptions'!$B$38)-MIN(C86,C$69*'03 Assumptions'!$B$37*'03 Assumptions'!$B$38))-(C80-MIN(C80,C$69*'03 Assumptions'!$B$36*'03 Assumptions'!$B$38))-(C86-MIN(C86,C$69*'03 Assumptions'!$B$37*'03 Assumptions'!$B$38)))</f>
        <v>0</v>
      </c>
      <c r="D93" s="16">
        <f>D92+MAX(0,MAX(0,D75-MIN(D80,D$69*'03 Assumptions'!$B$36*'03 Assumptions'!$B$38)-MIN(D86,D$69*'03 Assumptions'!$B$37*'03 Assumptions'!$B$38))-(D80-MIN(D80,D$69*'03 Assumptions'!$B$36*'03 Assumptions'!$B$38))-(D86-MIN(D86,D$69*'03 Assumptions'!$B$37*'03 Assumptions'!$B$38)))</f>
        <v>0</v>
      </c>
      <c r="E93" s="16">
        <f>E92+MAX(0,MAX(0,E75-MIN(E80,E$69*'03 Assumptions'!$B$36*'03 Assumptions'!$B$38)-MIN(E86,E$69*'03 Assumptions'!$B$37*'03 Assumptions'!$B$38))-(E80-MIN(E80,E$69*'03 Assumptions'!$B$36*'03 Assumptions'!$B$38))-(E86-MIN(E86,E$69*'03 Assumptions'!$B$37*'03 Assumptions'!$B$38)))</f>
        <v>0</v>
      </c>
    </row>
    <row r="94" spans="1:5" x14ac:dyDescent="0.2">
      <c r="A94" s="8" t="s">
        <v>354</v>
      </c>
      <c r="C94" s="16">
        <f>C93+MAX(0,MAX(0,C76-MIN(C81,C$69*'03 Assumptions'!$B$36*'03 Assumptions'!$B$38)-MIN(C87,C$69*'03 Assumptions'!$B$37*'03 Assumptions'!$B$38))-(C81-MIN(C81,C$69*'03 Assumptions'!$B$36*'03 Assumptions'!$B$38))-(C87-MIN(C87,C$69*'03 Assumptions'!$B$37*'03 Assumptions'!$B$38)))</f>
        <v>0</v>
      </c>
      <c r="D94" s="16">
        <f>D93+MAX(0,MAX(0,D76-MIN(D81,D$69*'03 Assumptions'!$B$36*'03 Assumptions'!$B$38)-MIN(D87,D$69*'03 Assumptions'!$B$37*'03 Assumptions'!$B$38))-(D81-MIN(D81,D$69*'03 Assumptions'!$B$36*'03 Assumptions'!$B$38))-(D87-MIN(D87,D$69*'03 Assumptions'!$B$37*'03 Assumptions'!$B$38)))</f>
        <v>0</v>
      </c>
      <c r="E94" s="16">
        <f>E93+MAX(0,MAX(0,E76-MIN(E81,E$69*'03 Assumptions'!$B$36*'03 Assumptions'!$B$38)-MIN(E87,E$69*'03 Assumptions'!$B$37*'03 Assumptions'!$B$38))-(E81-MIN(E81,E$69*'03 Assumptions'!$B$36*'03 Assumptions'!$B$38))-(E87-MIN(E87,E$69*'03 Assumptions'!$B$37*'03 Assumptions'!$B$38)))</f>
        <v>0</v>
      </c>
    </row>
    <row r="97" spans="1:5" x14ac:dyDescent="0.2">
      <c r="A97" s="3" t="s">
        <v>360</v>
      </c>
    </row>
    <row r="98" spans="1:5" x14ac:dyDescent="0.2">
      <c r="C98" s="13">
        <v>10</v>
      </c>
      <c r="D98" s="13">
        <v>11.5</v>
      </c>
      <c r="E98" s="13">
        <v>12.9</v>
      </c>
    </row>
    <row r="99" spans="1:5" x14ac:dyDescent="0.2">
      <c r="B99" s="9">
        <f>C68</f>
        <v>5</v>
      </c>
      <c r="C99" s="14">
        <f>((C$98*'09 Operating Model'!$K$18-(C82+C88+C$69*(1-'03 Assumptions'!$B$36-'03 Assumptions'!$B$37)-C94-'03 Assumptions'!$B$44))/C$70)^(1/5)-1</f>
        <v>0.12729849151747819</v>
      </c>
      <c r="D99" s="14">
        <f>((D$98*'09 Operating Model'!$K$18-(C82+C88+C$69*(1-'03 Assumptions'!$B$36-'03 Assumptions'!$B$37)-C94-'03 Assumptions'!$B$44))/C$70)^(1/5)-1</f>
        <v>0.16513774931412084</v>
      </c>
      <c r="E99" s="14">
        <f>((E$98*'09 Operating Model'!$K$18-(C82+C88+C$69*(1-'03 Assumptions'!$B$36-'03 Assumptions'!$B$37)-C94-'03 Assumptions'!$B$44))/C$70)^(1/5)-1</f>
        <v>0.19649941979846663</v>
      </c>
    </row>
    <row r="100" spans="1:5" x14ac:dyDescent="0.2">
      <c r="B100" s="9">
        <f>D68</f>
        <v>5.5</v>
      </c>
      <c r="C100" s="14">
        <f>((C$98*'09 Operating Model'!$K$18-(D82+D88+D$69*(1-'03 Assumptions'!$B$36-'03 Assumptions'!$B$37)-D94-'03 Assumptions'!$B$44))/D$70)^(1/5)-1</f>
        <v>0.1316356547417088</v>
      </c>
      <c r="D100" s="14">
        <f>((D$98*'09 Operating Model'!$K$18-(D82+D88+D$69*(1-'03 Assumptions'!$B$36-'03 Assumptions'!$B$37)-D94-'03 Assumptions'!$B$44))/D$70)^(1/5)-1</f>
        <v>0.17133702277995533</v>
      </c>
      <c r="E100" s="14">
        <f>((E$98*'09 Operating Model'!$K$18-(D82+D88+D$69*(1-'03 Assumptions'!$B$36-'03 Assumptions'!$B$37)-D94-'03 Assumptions'!$B$44))/D$70)^(1/5)-1</f>
        <v>0.20408091602869627</v>
      </c>
    </row>
    <row r="101" spans="1:5" x14ac:dyDescent="0.2">
      <c r="B101" s="9">
        <f>E68</f>
        <v>6</v>
      </c>
      <c r="C101" s="14">
        <f>((C$98*'09 Operating Model'!$K$18-(E82+E88+E$69*(1-'03 Assumptions'!$B$36-'03 Assumptions'!$B$37)-E94-'03 Assumptions'!$B$44))/E$70)^(1/5)-1</f>
        <v>0.13645991686991099</v>
      </c>
      <c r="D101" s="14">
        <f>((D$98*'09 Operating Model'!$K$18-(E82+E88+E$69*(1-'03 Assumptions'!$B$36-'03 Assumptions'!$B$37)-E94-'03 Assumptions'!$B$44))/E$70)^(1/5)-1</f>
        <v>0.17823031384625265</v>
      </c>
      <c r="E101" s="14">
        <f>((E$98*'09 Operating Model'!$K$18-(E82+E88+E$69*(1-'03 Assumptions'!$B$36-'03 Assumptions'!$B$37)-E94-'03 Assumptions'!$B$44))/E$70)^(1/5)-1</f>
        <v>0.21249617810460819</v>
      </c>
    </row>
    <row r="103" spans="1:5" x14ac:dyDescent="0.2">
      <c r="A103" s="8" t="s">
        <v>361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363</v>
      </c>
    </row>
    <row r="4" spans="1:14" x14ac:dyDescent="0.2">
      <c r="A4" s="8" t="s">
        <v>364</v>
      </c>
      <c r="B4" s="11">
        <v>2027</v>
      </c>
      <c r="C4" s="11">
        <v>2028</v>
      </c>
      <c r="D4" s="11">
        <v>2029</v>
      </c>
      <c r="E4" s="11">
        <v>2030</v>
      </c>
      <c r="F4" s="11">
        <v>2031</v>
      </c>
    </row>
    <row r="5" spans="1:14" x14ac:dyDescent="0.2">
      <c r="A5" s="8" t="s">
        <v>260</v>
      </c>
      <c r="B5" s="10">
        <f>'09 Operating Model'!G18</f>
        <v>1097.5795466</v>
      </c>
      <c r="C5" s="10">
        <f>'09 Operating Model'!H18</f>
        <v>1239.5727309084448</v>
      </c>
      <c r="D5" s="10">
        <f>'09 Operating Model'!I18</f>
        <v>1394.1020143054493</v>
      </c>
      <c r="E5" s="10">
        <f>'09 Operating Model'!J18</f>
        <v>1512.9144383455841</v>
      </c>
      <c r="F5" s="10">
        <f>'09 Operating Model'!K18</f>
        <v>1637.5579565154953</v>
      </c>
    </row>
    <row r="6" spans="1:14" x14ac:dyDescent="0.2">
      <c r="A6" s="8" t="s">
        <v>365</v>
      </c>
      <c r="B6" s="10">
        <f>'08 Debt Schedule'!G19</f>
        <v>7803.4244482391259</v>
      </c>
      <c r="C6" s="10">
        <f>'08 Debt Schedule'!H19</f>
        <v>7722.4612673221527</v>
      </c>
      <c r="D6" s="10">
        <f>'08 Debt Schedule'!I19</f>
        <v>7528.7915755729391</v>
      </c>
      <c r="E6" s="10">
        <f>'08 Debt Schedule'!J19</f>
        <v>7233.4805778701648</v>
      </c>
      <c r="F6" s="10">
        <f>'08 Debt Schedule'!K19</f>
        <v>6439.3185671929486</v>
      </c>
    </row>
    <row r="7" spans="1:14" x14ac:dyDescent="0.2">
      <c r="A7" s="8" t="s">
        <v>366</v>
      </c>
      <c r="B7" s="9">
        <f>'08 Debt Schedule'!G36</f>
        <v>7.109666422276173</v>
      </c>
      <c r="C7" s="9">
        <f>'08 Debt Schedule'!H36</f>
        <v>6.2299380058664227</v>
      </c>
      <c r="D7" s="9">
        <f>'08 Debt Schedule'!I36</f>
        <v>5.4004595777905333</v>
      </c>
      <c r="E7" s="9">
        <f>'08 Debt Schedule'!J36</f>
        <v>4.7811564187200073</v>
      </c>
      <c r="F7" s="9">
        <f>'08 Debt Schedule'!K36</f>
        <v>3.9322691093602322</v>
      </c>
    </row>
    <row r="9" spans="1:14" x14ac:dyDescent="0.2">
      <c r="A9" s="3" t="s">
        <v>367</v>
      </c>
    </row>
    <row r="10" spans="1:14" x14ac:dyDescent="0.2">
      <c r="A10" s="8" t="s">
        <v>368</v>
      </c>
      <c r="B10" s="9">
        <f>'10 Returns'!B15</f>
        <v>1</v>
      </c>
    </row>
    <row r="11" spans="1:14" x14ac:dyDescent="0.2">
      <c r="A11" s="8" t="s">
        <v>266</v>
      </c>
      <c r="B11" s="9">
        <f>'10 Returns'!B16</f>
        <v>1.7225992344386094</v>
      </c>
    </row>
    <row r="12" spans="1:14" x14ac:dyDescent="0.2">
      <c r="A12" s="8" t="s">
        <v>369</v>
      </c>
      <c r="B12" s="9">
        <f>'10 Returns'!B17</f>
        <v>-0.20157845100287153</v>
      </c>
    </row>
    <row r="13" spans="1:14" x14ac:dyDescent="0.2">
      <c r="A13" s="8" t="s">
        <v>370</v>
      </c>
      <c r="B13" s="9">
        <f>'10 Returns'!B18</f>
        <v>0.29517653782197123</v>
      </c>
    </row>
    <row r="14" spans="1:14" x14ac:dyDescent="0.2">
      <c r="A14" s="8" t="s">
        <v>371</v>
      </c>
      <c r="B14" s="9">
        <f>'10 Returns'!B19</f>
        <v>-7.7350978702777018E-2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3"/>
  <sheetViews>
    <sheetView showGridLines="0" workbookViewId="0"/>
  </sheetViews>
  <sheetFormatPr baseColWidth="10" defaultColWidth="9" defaultRowHeight="15" x14ac:dyDescent="0.2"/>
  <cols>
    <col min="1" max="1" width="46" customWidth="1"/>
    <col min="2" max="15" width="12" customWidth="1"/>
  </cols>
  <sheetData>
    <row r="1" spans="1:14" ht="17.5" customHeight="1" x14ac:dyDescent="0.2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x14ac:dyDescent="0.2">
      <c r="A3" s="3" t="s">
        <v>373</v>
      </c>
    </row>
    <row r="4" spans="1:14" x14ac:dyDescent="0.2">
      <c r="A4" s="4" t="s">
        <v>374</v>
      </c>
      <c r="B4" s="5">
        <f>'10 Returns'!B11</f>
        <v>0.22324523739252911</v>
      </c>
    </row>
    <row r="5" spans="1:14" x14ac:dyDescent="0.2">
      <c r="A5" s="4" t="s">
        <v>307</v>
      </c>
      <c r="B5" s="6">
        <f>'10 Returns'!B9</f>
        <v>2.7388463425549321</v>
      </c>
    </row>
    <row r="6" spans="1:14" x14ac:dyDescent="0.2">
      <c r="A6" s="4" t="s">
        <v>375</v>
      </c>
      <c r="B6" s="6">
        <f>'07 Purchase Price'!B8</f>
        <v>12.056983225688628</v>
      </c>
    </row>
    <row r="7" spans="1:14" x14ac:dyDescent="0.2">
      <c r="A7" s="4" t="s">
        <v>357</v>
      </c>
      <c r="B7" s="6">
        <f>'03 Assumptions'!F10</f>
        <v>5.5</v>
      </c>
    </row>
    <row r="8" spans="1:14" x14ac:dyDescent="0.2">
      <c r="A8" s="4" t="s">
        <v>376</v>
      </c>
      <c r="B8" s="7">
        <f>'06 Sources &amp; Uses'!B18</f>
        <v>4524.7510750000001</v>
      </c>
    </row>
    <row r="9" spans="1:14" x14ac:dyDescent="0.2">
      <c r="A9" s="4" t="s">
        <v>377</v>
      </c>
      <c r="B9" s="7">
        <f>'06 Sources &amp; Uses'!B13</f>
        <v>8024.9189240176911</v>
      </c>
    </row>
    <row r="10" spans="1:14" x14ac:dyDescent="0.2">
      <c r="A10" s="4" t="s">
        <v>378</v>
      </c>
      <c r="B10" s="7">
        <f>'08 Debt Schedule'!K19</f>
        <v>6439.3185671929486</v>
      </c>
    </row>
    <row r="11" spans="1:14" x14ac:dyDescent="0.2">
      <c r="A11" s="4" t="s">
        <v>379</v>
      </c>
      <c r="B11" s="7">
        <f>'06 Sources &amp; Uses'!B13-'08 Debt Schedule'!K17</f>
        <v>1335.6003568247424</v>
      </c>
    </row>
    <row r="12" spans="1:14" x14ac:dyDescent="0.2">
      <c r="A12" s="4" t="s">
        <v>380</v>
      </c>
      <c r="B12" s="7">
        <f>'09 Operating Model'!K18</f>
        <v>1637.5579565154953</v>
      </c>
    </row>
    <row r="13" spans="1:14" x14ac:dyDescent="0.2">
      <c r="A13" s="4" t="s">
        <v>381</v>
      </c>
      <c r="B13" s="6">
        <f>'08 Debt Schedule'!G37</f>
        <v>2.8586317624558046</v>
      </c>
    </row>
    <row r="16" spans="1:14" x14ac:dyDescent="0.2">
      <c r="A16" s="3" t="s">
        <v>382</v>
      </c>
    </row>
    <row r="17" spans="1:4" x14ac:dyDescent="0.2">
      <c r="A17" s="3" t="s">
        <v>383</v>
      </c>
      <c r="B17" s="3" t="s">
        <v>384</v>
      </c>
      <c r="C17" s="3" t="s">
        <v>385</v>
      </c>
      <c r="D17" s="3" t="s">
        <v>386</v>
      </c>
    </row>
    <row r="18" spans="1:4" x14ac:dyDescent="0.2">
      <c r="A18" s="8" t="s">
        <v>387</v>
      </c>
      <c r="B18" s="9">
        <f>'07 Purchase Price'!B8</f>
        <v>12.056983225688628</v>
      </c>
      <c r="C18" s="8" t="s">
        <v>388</v>
      </c>
      <c r="D18" s="8" t="s">
        <v>389</v>
      </c>
    </row>
    <row r="19" spans="1:4" x14ac:dyDescent="0.2">
      <c r="A19" s="8" t="s">
        <v>136</v>
      </c>
      <c r="B19" s="8" t="s">
        <v>390</v>
      </c>
      <c r="C19" s="8" t="s">
        <v>391</v>
      </c>
      <c r="D19" s="8" t="s">
        <v>392</v>
      </c>
    </row>
    <row r="20" spans="1:4" x14ac:dyDescent="0.2">
      <c r="A20" s="8" t="s">
        <v>393</v>
      </c>
      <c r="B20" s="10">
        <f>'06 Sources &amp; Uses'!B13</f>
        <v>8024.9189240176911</v>
      </c>
      <c r="C20" s="8" t="s">
        <v>394</v>
      </c>
      <c r="D20" s="8" t="s">
        <v>395</v>
      </c>
    </row>
    <row r="21" spans="1:4" x14ac:dyDescent="0.2">
      <c r="A21" s="8" t="s">
        <v>396</v>
      </c>
      <c r="B21" s="8" t="s">
        <v>397</v>
      </c>
      <c r="C21" s="8" t="s">
        <v>398</v>
      </c>
      <c r="D21" s="8" t="s">
        <v>399</v>
      </c>
    </row>
    <row r="22" spans="1:4" x14ac:dyDescent="0.2">
      <c r="A22" s="8" t="s">
        <v>400</v>
      </c>
      <c r="B22" s="10">
        <f>'06 Sources &amp; Uses'!B18</f>
        <v>4524.7510750000001</v>
      </c>
      <c r="C22" s="8" t="s">
        <v>401</v>
      </c>
      <c r="D22" s="8" t="s">
        <v>402</v>
      </c>
    </row>
    <row r="23" spans="1:4" x14ac:dyDescent="0.2">
      <c r="A23" s="8" t="s">
        <v>403</v>
      </c>
      <c r="B23" s="8" t="s">
        <v>404</v>
      </c>
      <c r="C23" s="8" t="s">
        <v>405</v>
      </c>
      <c r="D23" s="8" t="s">
        <v>406</v>
      </c>
    </row>
    <row r="24" spans="1:4" x14ac:dyDescent="0.2">
      <c r="A24" s="8" t="s">
        <v>407</v>
      </c>
      <c r="B24" s="8" t="s">
        <v>408</v>
      </c>
      <c r="C24" s="8" t="s">
        <v>409</v>
      </c>
      <c r="D24" s="8" t="s">
        <v>410</v>
      </c>
    </row>
    <row r="26" spans="1:4" x14ac:dyDescent="0.2">
      <c r="A26" s="3" t="s">
        <v>411</v>
      </c>
    </row>
    <row r="27" spans="1:4" x14ac:dyDescent="0.2">
      <c r="A27" s="8" t="s">
        <v>412</v>
      </c>
    </row>
    <row r="28" spans="1:4" x14ac:dyDescent="0.2">
      <c r="A28" s="8" t="s">
        <v>413</v>
      </c>
    </row>
    <row r="29" spans="1:4" x14ac:dyDescent="0.2">
      <c r="A29" s="8" t="s">
        <v>414</v>
      </c>
    </row>
    <row r="30" spans="1:4" x14ac:dyDescent="0.2">
      <c r="A30" s="8" t="s">
        <v>415</v>
      </c>
    </row>
    <row r="31" spans="1:4" x14ac:dyDescent="0.2">
      <c r="A31" s="8" t="s">
        <v>416</v>
      </c>
    </row>
    <row r="32" spans="1:4" x14ac:dyDescent="0.2">
      <c r="A32" s="8" t="s">
        <v>417</v>
      </c>
    </row>
    <row r="33" spans="1:1" x14ac:dyDescent="0.2">
      <c r="A33" s="8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 Executive Summary</vt:lpstr>
      <vt:lpstr>01 Cover</vt:lpstr>
      <vt:lpstr>03 Assumptions</vt:lpstr>
      <vt:lpstr>02 Sources</vt:lpstr>
      <vt:lpstr>04 Historical Financials</vt:lpstr>
      <vt:lpstr>05 Transaction Overview</vt:lpstr>
      <vt:lpstr>06 Sources &amp; Uses</vt:lpstr>
      <vt:lpstr>07 Purchase Price</vt:lpstr>
      <vt:lpstr>09 Operating Model</vt:lpstr>
      <vt:lpstr>08 Debt Schedule</vt:lpstr>
      <vt:lpstr>10 Returns</vt:lpstr>
      <vt:lpstr>11 Sensitivities</vt:lpstr>
      <vt:lpstr>12 Charts</vt:lpstr>
      <vt:lpstr>13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GAMBHIR</cp:lastModifiedBy>
  <dcterms:created xsi:type="dcterms:W3CDTF">2026-07-17T12:07:00Z</dcterms:created>
  <dcterms:modified xsi:type="dcterms:W3CDTF">2026-09-03T18:54:23Z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7A429B58B0E89D1DAFF85A6AB88AA999_42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
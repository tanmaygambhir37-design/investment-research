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3560" tabRatio="600" firstSheet="0" activeTab="2" autoFilterDateGrouping="1"/>
  </bookViews>
  <sheets>
    <sheet name="00 Executive Summary" sheetId="1" state="visible" r:id="rId1"/>
    <sheet name="01 Cover" sheetId="2" state="visible" r:id="rId2"/>
    <sheet name="03 Assumptions" sheetId="3" state="visible" r:id="rId3"/>
    <sheet name="02 Sources" sheetId="4" state="visible" r:id="rId4"/>
    <sheet name="04 Historical Financials" sheetId="5" state="visible" r:id="rId5"/>
    <sheet name="05 Transaction Overview" sheetId="6" state="visible" r:id="rId6"/>
    <sheet name="06 Sources &amp; Uses" sheetId="7" state="visible" r:id="rId7"/>
    <sheet name="07 Purchase Price" sheetId="8" state="visible" r:id="rId8"/>
    <sheet name="09 Operating Model" sheetId="9" state="visible" r:id="rId9"/>
    <sheet name="08 Debt Schedule" sheetId="10" state="visible" r:id="rId10"/>
    <sheet name="10 Returns" sheetId="11" state="visible" r:id="rId11"/>
    <sheet name="11 Sensitivities" sheetId="12" state="visible" r:id="rId12"/>
    <sheet name="12 Charts" sheetId="13" state="visible" r:id="rId13"/>
    <sheet name="13 Dashboard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#"/>
    <numFmt numFmtId="166" formatCode="#,##0.0;\(#,##0.0\);\-"/>
    <numFmt numFmtId="167" formatCode="#,##0;\(#,##0\);\-"/>
  </numFmts>
  <fonts count="29">
    <font>
      <name val="Calibri"/>
      <charset val="134"/>
      <color theme="1"/>
      <sz val="11"/>
      <scheme val="minor"/>
    </font>
    <font>
      <name val="Arial"/>
      <charset val="134"/>
      <b val="1"/>
      <color rgb="FFFFFFFF"/>
      <sz val="12"/>
    </font>
    <font>
      <name val="Arial"/>
      <charset val="134"/>
      <b val="1"/>
      <color rgb="FF1F3864"/>
      <sz val="11"/>
    </font>
    <font>
      <name val="Arial"/>
      <charset val="134"/>
      <sz val="10"/>
    </font>
    <font>
      <name val="Arial"/>
      <charset val="134"/>
      <color rgb="FF008000"/>
      <sz val="10"/>
    </font>
    <font>
      <name val="Arial"/>
      <charset val="134"/>
      <color rgb="FF0000FF"/>
      <sz val="10"/>
    </font>
    <font>
      <name val="Arial"/>
      <charset val="134"/>
      <b val="1"/>
      <color rgb="FFFF0000"/>
      <sz val="10"/>
    </font>
    <font>
      <name val="Arial"/>
      <charset val="134"/>
      <b val="1"/>
      <color rgb="FF1F3864"/>
      <sz val="14"/>
    </font>
    <font>
      <name val="Arial"/>
      <charset val="134"/>
      <b val="1"/>
      <sz val="10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9" fillId="0" borderId="0"/>
    <xf numFmtId="43" fontId="9" fillId="0" borderId="0" applyAlignment="1">
      <alignment vertical="center"/>
    </xf>
    <xf numFmtId="44" fontId="9" fillId="0" borderId="0" applyAlignment="1">
      <alignment vertical="center"/>
    </xf>
    <xf numFmtId="9" fontId="9" fillId="0" borderId="0" applyAlignment="1">
      <alignment vertical="center"/>
    </xf>
    <xf numFmtId="41" fontId="9" fillId="0" borderId="0" applyAlignment="1">
      <alignment vertical="center"/>
    </xf>
    <xf numFmtId="42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9" fillId="5" borderId="2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3" applyAlignment="1">
      <alignment vertical="center"/>
    </xf>
    <xf numFmtId="0" fontId="16" fillId="0" borderId="3" applyAlignment="1">
      <alignment vertical="center"/>
    </xf>
    <xf numFmtId="0" fontId="17" fillId="0" borderId="4" applyAlignment="1">
      <alignment vertical="center"/>
    </xf>
    <xf numFmtId="0" fontId="17" fillId="0" borderId="0" applyAlignment="1">
      <alignment vertical="center"/>
    </xf>
    <xf numFmtId="0" fontId="18" fillId="6" borderId="5" applyAlignment="1">
      <alignment vertical="center"/>
    </xf>
    <xf numFmtId="0" fontId="19" fillId="7" borderId="6" applyAlignment="1">
      <alignment vertical="center"/>
    </xf>
    <xf numFmtId="0" fontId="20" fillId="7" borderId="5" applyAlignment="1">
      <alignment vertical="center"/>
    </xf>
    <xf numFmtId="0" fontId="21" fillId="8" borderId="7" applyAlignment="1">
      <alignment vertical="center"/>
    </xf>
    <xf numFmtId="0" fontId="22" fillId="0" borderId="8" applyAlignment="1">
      <alignment vertical="center"/>
    </xf>
    <xf numFmtId="0" fontId="23" fillId="0" borderId="9" applyAlignment="1">
      <alignment vertical="center"/>
    </xf>
    <xf numFmtId="0" fontId="24" fillId="9" borderId="0" applyAlignment="1">
      <alignment vertical="center"/>
    </xf>
    <xf numFmtId="0" fontId="25" fillId="10" borderId="0" applyAlignment="1">
      <alignment vertical="center"/>
    </xf>
    <xf numFmtId="0" fontId="26" fillId="11" borderId="0" applyAlignment="1">
      <alignment vertical="center"/>
    </xf>
    <xf numFmtId="0" fontId="27" fillId="12" borderId="0" applyAlignment="1">
      <alignment vertical="center"/>
    </xf>
    <xf numFmtId="0" fontId="28" fillId="13" borderId="0" applyAlignment="1">
      <alignment vertical="center"/>
    </xf>
    <xf numFmtId="0" fontId="28" fillId="14" borderId="0" applyAlignment="1">
      <alignment vertical="center"/>
    </xf>
    <xf numFmtId="0" fontId="27" fillId="15" borderId="0" applyAlignment="1">
      <alignment vertical="center"/>
    </xf>
    <xf numFmtId="0" fontId="27" fillId="16" borderId="0" applyAlignment="1">
      <alignment vertical="center"/>
    </xf>
    <xf numFmtId="0" fontId="28" fillId="17" borderId="0" applyAlignment="1">
      <alignment vertical="center"/>
    </xf>
    <xf numFmtId="0" fontId="28" fillId="18" borderId="0" applyAlignment="1">
      <alignment vertical="center"/>
    </xf>
    <xf numFmtId="0" fontId="27" fillId="19" borderId="0" applyAlignment="1">
      <alignment vertical="center"/>
    </xf>
    <xf numFmtId="0" fontId="27" fillId="20" borderId="0" applyAlignment="1">
      <alignment vertical="center"/>
    </xf>
    <xf numFmtId="0" fontId="28" fillId="21" borderId="0" applyAlignment="1">
      <alignment vertical="center"/>
    </xf>
    <xf numFmtId="0" fontId="28" fillId="22" borderId="0" applyAlignment="1">
      <alignment vertical="center"/>
    </xf>
    <xf numFmtId="0" fontId="27" fillId="23" borderId="0" applyAlignment="1">
      <alignment vertical="center"/>
    </xf>
    <xf numFmtId="0" fontId="27" fillId="24" borderId="0" applyAlignment="1">
      <alignment vertical="center"/>
    </xf>
    <xf numFmtId="0" fontId="28" fillId="25" borderId="0" applyAlignment="1">
      <alignment vertical="center"/>
    </xf>
    <xf numFmtId="0" fontId="28" fillId="26" borderId="0" applyAlignment="1">
      <alignment vertical="center"/>
    </xf>
    <xf numFmtId="0" fontId="27" fillId="27" borderId="0" applyAlignment="1">
      <alignment vertical="center"/>
    </xf>
    <xf numFmtId="0" fontId="27" fillId="28" borderId="0" applyAlignment="1">
      <alignment vertical="center"/>
    </xf>
    <xf numFmtId="0" fontId="28" fillId="29" borderId="0" applyAlignment="1">
      <alignment vertical="center"/>
    </xf>
    <xf numFmtId="0" fontId="28" fillId="30" borderId="0" applyAlignment="1">
      <alignment vertical="center"/>
    </xf>
    <xf numFmtId="0" fontId="27" fillId="31" borderId="0" applyAlignment="1">
      <alignment vertical="center"/>
    </xf>
    <xf numFmtId="0" fontId="27" fillId="32" borderId="0" applyAlignment="1">
      <alignment vertical="center"/>
    </xf>
    <xf numFmtId="0" fontId="28" fillId="33" borderId="0" applyAlignment="1">
      <alignment vertical="center"/>
    </xf>
    <xf numFmtId="0" fontId="28" fillId="34" borderId="0" applyAlignment="1">
      <alignment vertical="center"/>
    </xf>
    <xf numFmtId="0" fontId="27" fillId="35" borderId="0" applyAlignment="1">
      <alignment vertical="center"/>
    </xf>
  </cellStyleXfs>
  <cellXfs count="68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0" fontId="3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3" fillId="0" borderId="0" pivotButton="0" quotePrefix="0" xfId="0"/>
    <xf numFmtId="0" fontId="5" fillId="0" borderId="0" pivotButton="0" quotePrefix="0" xfId="0"/>
    <xf numFmtId="165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6" fontId="3" fillId="0" borderId="0" pivotButton="0" quotePrefix="0" xfId="0"/>
    <xf numFmtId="164" fontId="4" fillId="0" borderId="0" pivotButton="0" quotePrefix="0" xfId="0"/>
    <xf numFmtId="166" fontId="3" fillId="0" borderId="1" pivotButton="0" quotePrefix="0" xfId="0"/>
    <xf numFmtId="165" fontId="3" fillId="3" borderId="1" pivotButton="0" quotePrefix="0" xfId="0"/>
    <xf numFmtId="167" fontId="4" fillId="0" borderId="1" pivotButton="0" quotePrefix="0" xfId="0"/>
    <xf numFmtId="164" fontId="3" fillId="3" borderId="1" pivotButton="0" quotePrefix="0" xfId="0"/>
    <xf numFmtId="165" fontId="3" fillId="0" borderId="0" pivotButton="0" quotePrefix="0" xfId="0"/>
    <xf numFmtId="0" fontId="6" fillId="0" borderId="0" pivotButton="0" quotePrefix="0" xfId="0"/>
    <xf numFmtId="4" fontId="4" fillId="0" borderId="1" pivotButton="0" quotePrefix="0" xfId="0"/>
    <xf numFmtId="165" fontId="3" fillId="0" borderId="1" pivotButton="0" quotePrefix="0" xfId="0"/>
    <xf numFmtId="164" fontId="3" fillId="0" borderId="1" pivotButton="0" quotePrefix="0" xfId="0"/>
    <xf numFmtId="166" fontId="3" fillId="3" borderId="1" pivotButton="0" quotePrefix="0" xfId="0"/>
    <xf numFmtId="166" fontId="5" fillId="0" borderId="1" pivotButton="0" quotePrefix="0" xfId="0"/>
    <xf numFmtId="166" fontId="5" fillId="0" borderId="0" pivotButton="0" quotePrefix="0" xfId="0"/>
    <xf numFmtId="4" fontId="5" fillId="0" borderId="0" pivotButton="0" quotePrefix="0" xfId="0"/>
    <xf numFmtId="167" fontId="5" fillId="3" borderId="0" pivotButton="0" quotePrefix="0" xfId="0"/>
    <xf numFmtId="164" fontId="5" fillId="0" borderId="1" pivotButton="0" quotePrefix="0" xfId="0"/>
    <xf numFmtId="165" fontId="5" fillId="0" borderId="1" pivotButton="0" quotePrefix="0" xfId="0"/>
    <xf numFmtId="167" fontId="5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164" fontId="4" fillId="3" borderId="0" pivotButton="0" quotePrefix="0" xfId="0"/>
    <xf numFmtId="165" fontId="4" fillId="3" borderId="0" pivotButton="0" quotePrefix="0" xfId="0"/>
    <xf numFmtId="0" fontId="8" fillId="4" borderId="1" pivotButton="0" quotePrefix="0" xfId="0"/>
    <xf numFmtId="0" fontId="0" fillId="4" borderId="1" pivotButton="0" quotePrefix="0" xfId="0"/>
    <xf numFmtId="164" fontId="4" fillId="3" borderId="0" pivotButton="0" quotePrefix="0" xfId="0"/>
    <xf numFmtId="165" fontId="4" fillId="3" borderId="0" pivotButton="0" quotePrefix="0" xfId="0"/>
    <xf numFmtId="166" fontId="4" fillId="0" borderId="0" pivotButton="0" quotePrefix="0" xfId="0"/>
    <xf numFmtId="164" fontId="4" fillId="0" borderId="1" pivotButton="0" quotePrefix="0" xfId="0"/>
    <xf numFmtId="165" fontId="4" fillId="0" borderId="1" pivotButton="0" quotePrefix="0" xfId="0"/>
    <xf numFmtId="164" fontId="4" fillId="0" borderId="0" pivotButton="0" quotePrefix="0" xfId="0"/>
    <xf numFmtId="167" fontId="5" fillId="3" borderId="0" pivotButton="0" quotePrefix="0" xfId="0"/>
    <xf numFmtId="164" fontId="5" fillId="0" borderId="1" pivotButton="0" quotePrefix="0" xfId="0"/>
    <xf numFmtId="164" fontId="3" fillId="3" borderId="1" pivotButton="0" quotePrefix="0" xfId="0"/>
    <xf numFmtId="165" fontId="5" fillId="0" borderId="1" pivotButton="0" quotePrefix="0" xfId="0"/>
    <xf numFmtId="165" fontId="3" fillId="3" borderId="1" pivotButton="0" quotePrefix="0" xfId="0"/>
    <xf numFmtId="166" fontId="5" fillId="0" borderId="1" pivotButton="0" quotePrefix="0" xfId="0"/>
    <xf numFmtId="166" fontId="3" fillId="3" borderId="1" pivotButton="0" quotePrefix="0" xfId="0"/>
    <xf numFmtId="166" fontId="5" fillId="0" borderId="0" pivotButton="0" quotePrefix="0" xfId="0"/>
    <xf numFmtId="164" fontId="5" fillId="0" borderId="0" pivotButton="0" quotePrefix="0" xfId="0"/>
    <xf numFmtId="167" fontId="5" fillId="0" borderId="0" pivotButton="0" quotePrefix="0" xfId="0"/>
    <xf numFmtId="165" fontId="5" fillId="0" borderId="0" pivotButton="0" quotePrefix="0" xfId="0"/>
    <xf numFmtId="164" fontId="3" fillId="0" borderId="0" pivotButton="0" quotePrefix="0" xfId="0"/>
    <xf numFmtId="166" fontId="3" fillId="0" borderId="1" pivotButton="0" quotePrefix="0" xfId="0"/>
    <xf numFmtId="166" fontId="4" fillId="0" borderId="1" pivotButton="0" quotePrefix="0" xfId="0"/>
    <xf numFmtId="165" fontId="3" fillId="0" borderId="1" pivotButton="0" quotePrefix="0" xfId="0"/>
    <xf numFmtId="164" fontId="3" fillId="0" borderId="1" pivotButton="0" quotePrefix="0" xfId="0"/>
    <xf numFmtId="167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167" fontId="4" fillId="0" borderId="1" pivotButton="0" quotePrefix="0" xfId="0"/>
    <xf numFmtId="165" fontId="4" fillId="0" borderId="0" pivotButton="0" quotePrefix="0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en-US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EBITDA margin 2021-25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"EBITDA margin"</f>
              <strCache>
                <ptCount val="1"/>
                <pt idx="0">
                  <v>EBITDA margin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strRef>
              <f>'04 Historical Financials'!$B$3:$F$3</f>
              <strCache>
                <ptCount val="5"/>
                <pt idx="0">
                  <v>2021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</v>
                </pt>
              </strCache>
            </strRef>
          </cat>
          <val>
            <numRef>
              <f>'04 Historical Financials'!$B$15:$F$15</f>
              <numCache>
                <formatCode>0.0%</formatCode>
                <ptCount val="5"/>
                <pt idx="0">
                  <v>0.372151898734177</v>
                </pt>
                <pt idx="1">
                  <v>0.373448461953589</v>
                </pt>
                <pt idx="2">
                  <v>0.36983669548511</v>
                </pt>
                <pt idx="3">
                  <v>0.369684030742955</v>
                </pt>
                <pt idx="4">
                  <v>0.378513596089215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en-US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en-US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en-US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/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en-US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EBITDA vs Net debt (€m)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"EBITDA"</f>
              <strCache>
                <ptCount val="1"/>
                <pt idx="0">
                  <v>EBITDA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'12 Charts'!$B$4:$F$4</f>
              <numCache>
                <formatCode>#,##0;\(#,##0\);\-</formatCode>
                <ptCount val="5"/>
                <pt idx="0">
                  <v>2027</v>
                </pt>
                <pt idx="1">
                  <v>2028</v>
                </pt>
                <pt idx="2">
                  <v>2029</v>
                </pt>
                <pt idx="3">
                  <v>2030</v>
                </pt>
                <pt idx="4">
                  <v>2031</v>
                </pt>
              </numCache>
            </numRef>
          </cat>
          <val>
            <numRef>
              <f>'12 Charts'!$B$5:$F$5</f>
              <numCache>
                <formatCode>#,##0.0;\(#,##0.0\);\-</formatCode>
                <ptCount val="5"/>
                <pt idx="0">
                  <v>1097.5795466</v>
                </pt>
                <pt idx="1">
                  <v>1239.57273090844</v>
                </pt>
                <pt idx="2">
                  <v>1394.10201430545</v>
                </pt>
                <pt idx="3">
                  <v>1512.91443834558</v>
                </pt>
                <pt idx="4">
                  <v>1637.5579565155</v>
                </pt>
              </numCache>
            </numRef>
          </val>
        </ser>
        <ser>
          <idx val="1"/>
          <order val="1"/>
          <tx>
            <strRef>
              <f>"Net debt"</f>
              <strCache>
                <ptCount val="1"/>
                <pt idx="0">
                  <v>Net debt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'12 Charts'!$B$4:$F$4</f>
              <numCache>
                <formatCode>#,##0;\(#,##0\);\-</formatCode>
                <ptCount val="5"/>
                <pt idx="0">
                  <v>2027</v>
                </pt>
                <pt idx="1">
                  <v>2028</v>
                </pt>
                <pt idx="2">
                  <v>2029</v>
                </pt>
                <pt idx="3">
                  <v>2030</v>
                </pt>
                <pt idx="4">
                  <v>2031</v>
                </pt>
              </numCache>
            </numRef>
          </cat>
          <val>
            <numRef>
              <f>'12 Charts'!$B$6:$F$6</f>
              <numCache>
                <formatCode>#,##0.0;\(#,##0.0\);\-</formatCode>
                <ptCount val="5"/>
                <pt idx="0">
                  <v>5061.8918896664</v>
                </pt>
                <pt idx="1">
                  <v>4807.44833015781</v>
                </pt>
                <pt idx="2">
                  <v>4427.99728824787</v>
                </pt>
                <pt idx="3">
                  <v>3932.09432123388</v>
                </pt>
                <pt idx="4">
                  <v>2921.31685313162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en-US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en-US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en-US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/>
          </a: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en-US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MOIC bridge (x entry equity)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spPr>
            <a:ln>
              <a:noFill/>
              <a:prstDash val="solid"/>
            </a:ln>
          </spPr>
          <invertIfNegative val="0"/>
          <dLbls>
            <delete val="1"/>
          </dLbls>
          <cat>
            <strRef>
              <f>'12 Charts'!$A$10:$A$14</f>
              <strCache>
                <ptCount val="5"/>
                <pt idx="0">
                  <v>Entry</v>
                </pt>
                <pt idx="1">
                  <v>EBITDA growth</v>
                </pt>
                <pt idx="2">
                  <v>Multiple</v>
                </pt>
                <pt idx="3">
                  <v>Deleveraging</v>
                </pt>
                <pt idx="4">
                  <v>Fees/resid</v>
                </pt>
              </strCache>
            </strRef>
          </cat>
          <val>
            <numRef>
              <f>'12 Charts'!$B$10:$B$14</f>
              <numCache>
                <formatCode>0.00#</formatCode>
                <ptCount val="5"/>
                <pt idx="0">
                  <v>1</v>
                </pt>
                <pt idx="1">
                  <v>1.07439010392957</v>
                </pt>
                <pt idx="2">
                  <v>-0.238678372711965</v>
                </pt>
                <pt idx="3">
                  <v>0.300570279792935</v>
                </pt>
                <pt idx="4">
                  <v>-0.038556935564626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en-US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en-US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en-US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/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4320000" cy="281718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5400000" cy="32229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4320000" cy="32229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6"/>
  <sheetViews>
    <sheetView showGridLines="0" workbookViewId="0">
      <selection activeCell="B4" sqref="B4"/>
    </sheetView>
  </sheetViews>
  <sheetFormatPr baseColWidth="8" defaultColWidth="9" defaultRowHeight="16.8"/>
  <cols>
    <col width="46" customWidth="1" min="1" max="1"/>
    <col width="12" customWidth="1" min="2" max="13"/>
  </cols>
  <sheetData>
    <row r="1" ht="17.6" customHeight="1">
      <c r="A1" s="1" t="inlineStr">
        <is>
          <t>RECORDATI (BIT: REC) — INDEPENDENT LBO, EXECUTIVE SUMMARY | 17 JULY 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.4" customHeight="1">
      <c r="A3" s="36" t="inlineStr">
        <is>
          <t>THE ANSWER</t>
        </is>
      </c>
    </row>
    <row r="4">
      <c r="A4" s="3" t="inlineStr">
        <is>
          <t>Base-case IRR (5yr, 11.5x exit):</t>
        </is>
      </c>
      <c r="B4" s="41">
        <f>'10 Returns'!B11</f>
        <v/>
      </c>
    </row>
    <row r="5">
      <c r="A5" s="3" t="inlineStr">
        <is>
          <t>Base-case MOIC:</t>
        </is>
      </c>
      <c r="B5" s="42">
        <f>'10 Returns'!B9</f>
        <v/>
      </c>
    </row>
    <row r="6">
      <c r="A6" s="8" t="inlineStr">
        <is>
          <t>Entry: 12.6x on close-date net debt (12.9x on FY25A gross, announced basis) / 5.5x leverage / ~EUR 7.6bn equity</t>
        </is>
      </c>
    </row>
    <row r="7">
      <c r="A7" s="8" t="inlineStr">
        <is>
          <t>Sponsor equity (model):</t>
        </is>
      </c>
      <c r="B7" s="43">
        <f>'06 Sources &amp; Uses'!B18</f>
        <v/>
      </c>
    </row>
    <row r="8">
      <c r="A8" s="8" t="inlineStr">
        <is>
          <t>Debt paydown over hold (gross):</t>
        </is>
      </c>
      <c r="B8" s="43">
        <f>'06 Sources &amp; Uses'!B13-'08 Debt Schedule'!K17</f>
        <v/>
      </c>
    </row>
    <row r="10" ht="20.4" customHeight="1">
      <c r="A10" s="36" t="inlineStr">
        <is>
          <t>WHAT DRIVES THE RETURN</t>
        </is>
      </c>
    </row>
    <row r="11">
      <c r="A11" s="8" t="inlineStr">
        <is>
          <t>1. EBITDA growth: organic RD (+14%-&gt;9%) + SPC (+2%) to ~EUR 1.46bn by 2031; BD EUR 400m/yr 2027-2030 (exit-yr spend removed; cum. EUR 1.6bn) adds ~EUR 178m acquired EBITDA at 9.0x effective -&gt; ~EUR 1.6bn total.</t>
        </is>
      </c>
    </row>
    <row r="12">
      <c r="A12" s="8" t="inlineStr">
        <is>
          <t>2. Deleveraging: ~EUR 550-900m FCF/yr sweeps TLBs; leverage 5.5x -&gt; ~1.9x by exit (BD-funded base) / ~1.0x (no-BD floor).</t>
        </is>
      </c>
    </row>
    <row r="13">
      <c r="A13" s="8" t="inlineStr">
        <is>
          <t>3. Exit multiple: base 11.5x (COMPRESSION vs 12.9x entry). ~2.0-2.5pts IRR per turn. Rossini precedent: 0 expansion over 8 yrs.</t>
        </is>
      </c>
    </row>
    <row r="15" ht="20.4" customHeight="1">
      <c r="A15" s="36" t="inlineStr">
        <is>
          <t>KEY ASSUMPTIONS (speed-read)</t>
        </is>
      </c>
    </row>
    <row r="16">
      <c r="A16" s="4" t="inlineStr">
        <is>
          <t>RD growth y1-3 / y4-5</t>
        </is>
      </c>
      <c r="B16" s="44">
        <f>'03 Assumptions'!F6</f>
        <v/>
      </c>
    </row>
    <row r="17">
      <c r="A17" s="4" t="inlineStr">
        <is>
          <t>SPC growth</t>
        </is>
      </c>
      <c r="B17" s="44">
        <f>'03 Assumptions'!F8</f>
        <v/>
      </c>
    </row>
    <row r="18">
      <c r="A18" s="4" t="inlineStr">
        <is>
          <t>Margin path 36.5% →</t>
        </is>
      </c>
      <c r="B18" s="44">
        <f>'03 Assumptions'!F9</f>
        <v/>
      </c>
    </row>
    <row r="19">
      <c r="A19" s="4" t="inlineStr">
        <is>
          <t>Entry leverage</t>
        </is>
      </c>
      <c r="B19" s="45">
        <f>'03 Assumptions'!F10</f>
        <v/>
      </c>
    </row>
    <row r="20">
      <c r="A20" s="4" t="inlineStr">
        <is>
          <t>Exit multiple</t>
        </is>
      </c>
      <c r="B20" s="45">
        <f>'03 Assumptions'!F11</f>
        <v/>
      </c>
    </row>
    <row r="21">
      <c r="A21" s="4" t="inlineStr">
        <is>
          <t>Blended debt cost ~6.3%; tax 24%; maint. capex 1.75% rev</t>
        </is>
      </c>
    </row>
    <row r="23" ht="20.4" customHeight="1">
      <c r="A23" s="36" t="inlineStr">
        <is>
          <t>RECOMMENDED ACTION</t>
        </is>
      </c>
    </row>
    <row r="24">
      <c r="A24" s="39" t="inlineStr">
        <is>
          <t>PARTICIPATE selectively (co-invest): V3 base ~15% IRR / ~2.0x MOIC (live 00!B4:B5). No-BD conservative floor ~15% (F13=0) — funding BD is</t>
        </is>
      </c>
      <c r="B24" s="40" t="n"/>
      <c r="C24" s="40" t="n"/>
      <c r="D24" s="40" t="n"/>
      <c r="E24" s="40" t="n"/>
      <c r="F24" s="40" t="n"/>
      <c r="G24" s="40" t="n"/>
      <c r="H24" s="40" t="n"/>
    </row>
    <row r="25">
      <c r="A25" s="8" t="inlineStr">
        <is>
          <t>roughly IRR-NEUTRAL: the 9x-in / 11.5x-out arbitrage is almost exactly offset by interest drag on un-swept cash + forfeited deleveraging. The</t>
        </is>
      </c>
    </row>
    <row r="26">
      <c r="A26" s="8" t="inlineStr">
        <is>
          <t>sponsor-consistent ~18% case is exit-multiple MAINTENANCE (entry-flat 12.9x = +2.9pt), NOT BD arbitrage. Bull (BD+12.9x+6.0x lev) ~24%/3.0x. Clears a co-invest bar, not a 20% standalone hurdle.</t>
        </is>
      </c>
    </row>
    <row r="28" ht="20.4" customHeight="1">
      <c r="A28" s="36" t="inlineStr">
        <is>
          <t>KEY RISKS (ranked)</t>
        </is>
      </c>
    </row>
    <row r="29">
      <c r="A29" s="8" t="inlineStr">
        <is>
          <t>1. Exit multiple compression toward Ipsen 8.4x: at 10x exit, IRR falls to single digits — dominant risk.</t>
        </is>
      </c>
    </row>
    <row r="30">
      <c r="A30" s="8" t="inlineStr">
        <is>
          <t>2. Isturisa vs Corcept relacorilant: RD growth engine concentration (~35-40% of RD est.).</t>
        </is>
      </c>
    </row>
    <row r="31">
      <c r="A31" s="8" t="inlineStr">
        <is>
          <t>3. FY26 margin guide-down proves structural (not investment/FX): EBITDA base erodes.</t>
        </is>
      </c>
    </row>
    <row r="32">
      <c r="A32" s="8" t="inlineStr">
        <is>
          <t>4. US policy (IRA/tariffs) on the RD growth market; SPC decay acceleration (Turkey/Russia).</t>
        </is>
      </c>
    </row>
    <row r="33">
      <c r="A33" s="8" t="inlineStr">
        <is>
          <t>5. Seller = best-informed party (CVC VII → IX continuation): adverse-selection discount warranted.</t>
        </is>
      </c>
    </row>
    <row r="35">
      <c r="A35" s="8" t="inlineStr">
        <is>
          <t>HOW TO USE: scenario switch '03 Assumptions'!B3; BLUE=input, BLACK=formula, GREEN=link, RED=check; yellow=key levers.</t>
        </is>
      </c>
    </row>
    <row r="37" ht="20.4" customHeight="1">
      <c r="A37" s="36" t="inlineStr">
        <is>
          <t>GLOSSARY</t>
        </is>
      </c>
    </row>
    <row r="38">
      <c r="A38" s="3" t="inlineStr">
        <is>
          <t>IRR / MOIC</t>
        </is>
      </c>
      <c r="C38" s="8" t="inlineStr">
        <is>
          <t>Internal rate of return / Multiple of invested capital (exit equity ÷ entry equity)</t>
        </is>
      </c>
    </row>
    <row r="39">
      <c r="A39" s="3" t="inlineStr">
        <is>
          <t>TLB / SSN / RCF</t>
        </is>
      </c>
      <c r="C39" s="8" t="inlineStr">
        <is>
          <t>Term Loan B (floating, 1% amort, sweepable) / Senior Secured Notes (fixed bullet) / Revolving Credit Facility</t>
        </is>
      </c>
    </row>
    <row r="40">
      <c r="A40" s="3" t="inlineStr">
        <is>
          <t>Cash sweep</t>
        </is>
      </c>
      <c r="C40" s="8" t="inlineStr">
        <is>
          <t>Excess FCF mandatorily prepays TLBs (EUR first, then USD)</t>
        </is>
      </c>
    </row>
    <row r="41">
      <c r="A41" s="3" t="inlineStr">
        <is>
          <t>OID</t>
        </is>
      </c>
      <c r="C41" s="8" t="inlineStr">
        <is>
          <t>Original issue discount — financing fee reducing net debt proceeds, capitalised</t>
        </is>
      </c>
    </row>
    <row r="42">
      <c r="A42" s="3" t="inlineStr">
        <is>
          <t>DSCR / Coverage</t>
        </is>
      </c>
      <c r="C42" s="8" t="inlineStr">
        <is>
          <t>Debt service coverage ratio / EBITDA ÷ cash interest — financeability tests</t>
        </is>
      </c>
    </row>
    <row r="43">
      <c r="A43" s="3" t="inlineStr">
        <is>
          <t>S&amp;U</t>
        </is>
      </c>
      <c r="C43" s="8" t="inlineStr">
        <is>
          <t>Sources &amp; Uses — where the money comes from and goes at close</t>
        </is>
      </c>
    </row>
    <row r="45">
      <c r="B45" s="8" t="inlineStr">
        <is>
          <t>2029</t>
        </is>
      </c>
      <c r="C45" s="8" t="inlineStr">
        <is>
          <t>2030</t>
        </is>
      </c>
      <c r="D45" s="8" t="inlineStr">
        <is>
          <t>2031</t>
        </is>
      </c>
    </row>
    <row r="46">
      <c r="A46" s="3" t="inlineStr">
        <is>
          <t>IRR by exit year (live):</t>
        </is>
      </c>
      <c r="B46" s="46">
        <f>'10 Returns'!B27</f>
        <v/>
      </c>
      <c r="C46" s="46">
        <f>'10 Returns'!C27</f>
        <v/>
      </c>
      <c r="D46" s="46">
        <f>'10 Returns'!D27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selection activeCell="A1" sqref="A1"/>
    </sheetView>
  </sheetViews>
  <sheetFormatPr baseColWidth="8" defaultColWidth="9" defaultRowHeight="16.8"/>
  <cols>
    <col width="46" customWidth="1" min="1" max="1"/>
    <col width="12" customWidth="1" min="2" max="15"/>
  </cols>
  <sheetData>
    <row r="1" ht="17.6" customHeight="1">
      <c r="A1" s="1" t="inlineStr">
        <is>
          <t>RECORDATI S.p.A. (BIT: REC) — INDEPENDENT LBO MODEL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8" t="inlineStr">
        <is>
          <t>Investment question: could an outside investor independently justify the €10.7bn take-private by CVC Fund IX &amp; GBL?</t>
        </is>
      </c>
    </row>
    <row r="4">
      <c r="A4" s="8" t="inlineStr">
        <is>
          <t>Built BLIND to the sponsors' model, then compared against the actual announced transaction (see 13 Dashboard).</t>
        </is>
      </c>
    </row>
    <row r="6">
      <c r="A6" s="8" t="inlineStr">
        <is>
          <t>Prepared 17-Jul-2026 | Analyst: Tanmay Gambhir | €m | Entry: close 31-Dec-26 | Exit: 31-Dec-31 (base)</t>
        </is>
      </c>
    </row>
    <row r="8">
      <c r="A8" s="8" t="inlineStr">
        <is>
          <t>Color code: BLUE input | BLACK formula | GREEN cross-sheet | RED check. Yellow = primary levers.</t>
        </is>
      </c>
    </row>
    <row r="9">
      <c r="A9" s="8" t="inlineStr">
        <is>
          <t>Scenario switch: '03 Assumptions'!B3 (1=Bear, 2=Base, 3=Bull).</t>
        </is>
      </c>
    </row>
    <row r="11">
      <c r="A11" s="35" t="inlineStr">
        <is>
          <t>00 Executive Summary — answer first</t>
        </is>
      </c>
    </row>
    <row r="12">
      <c r="A12" s="35" t="inlineStr">
        <is>
          <t>02 Sources</t>
        </is>
      </c>
    </row>
    <row r="13">
      <c r="A13" s="35" t="inlineStr">
        <is>
          <t>03 Assumptions</t>
        </is>
      </c>
    </row>
    <row r="14">
      <c r="A14" s="35" t="inlineStr">
        <is>
          <t>04 Historical Financials</t>
        </is>
      </c>
    </row>
    <row r="15">
      <c r="A15" s="35" t="inlineStr">
        <is>
          <t>05 Transaction Overview</t>
        </is>
      </c>
    </row>
    <row r="16">
      <c r="A16" s="35" t="inlineStr">
        <is>
          <t>06 Sources &amp; Uses</t>
        </is>
      </c>
    </row>
    <row r="17">
      <c r="A17" s="35" t="inlineStr">
        <is>
          <t>07 Purchase Price</t>
        </is>
      </c>
    </row>
    <row r="18">
      <c r="A18" s="35" t="inlineStr">
        <is>
          <t>08 Debt Schedule (sweep mechanics)</t>
        </is>
      </c>
    </row>
    <row r="19">
      <c r="A19" s="35" t="inlineStr">
        <is>
          <t>09 Operating Model (RD/SPC split)</t>
        </is>
      </c>
    </row>
    <row r="20">
      <c r="A20" s="35" t="inlineStr">
        <is>
          <t>10 Returns (IRR, MOIC, bridges)</t>
        </is>
      </c>
    </row>
    <row r="21">
      <c r="A21" s="35" t="inlineStr">
        <is>
          <t>11 Sensitivities</t>
        </is>
      </c>
    </row>
    <row r="22">
      <c r="A22" s="35" t="inlineStr">
        <is>
          <t>12 Charts</t>
        </is>
      </c>
    </row>
    <row r="23">
      <c r="A23" s="35" t="inlineStr">
        <is>
          <t>13 Dashboard + actual-deal comparison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4"/>
  <sheetViews>
    <sheetView showGridLines="0" tabSelected="1" workbookViewId="0">
      <selection activeCell="E24" sqref="E24"/>
    </sheetView>
  </sheetViews>
  <sheetFormatPr baseColWidth="8" defaultColWidth="9" defaultRowHeight="16.8"/>
  <cols>
    <col width="46" customWidth="1" min="1" max="1"/>
    <col width="12" customWidth="1" min="2" max="15"/>
  </cols>
  <sheetData>
    <row r="1" ht="17.6" customHeight="1">
      <c r="A1" s="1" t="inlineStr">
        <is>
          <t>ASSUMPTIONS &amp; SCENARIO SWITCH — all inputs blue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3" t="inlineStr">
        <is>
          <t>SCENARIO SWITCH (1=Bear, 2=Base, 3=Bull)</t>
        </is>
      </c>
      <c r="B3" s="47" t="n">
        <v>2</v>
      </c>
      <c r="C3" s="23">
        <f>IF(OR(B3=1,B3=2,B3=3),"OK","ERROR: 1/2/3 only")</f>
        <v/>
      </c>
    </row>
    <row r="5">
      <c r="A5" s="3" t="inlineStr">
        <is>
          <t>Scenario inputs</t>
        </is>
      </c>
      <c r="C5" s="3" t="inlineStr">
        <is>
          <t>Bear</t>
        </is>
      </c>
      <c r="D5" s="3" t="inlineStr">
        <is>
          <t>Base</t>
        </is>
      </c>
      <c r="E5" s="3" t="inlineStr">
        <is>
          <t>Bull</t>
        </is>
      </c>
      <c r="F5" s="3" t="inlineStr">
        <is>
          <t>ACTIVE</t>
        </is>
      </c>
    </row>
    <row r="6">
      <c r="A6" s="4" t="inlineStr">
        <is>
          <t>Rare Diseases growth 2027-29</t>
        </is>
      </c>
      <c r="C6" s="48" t="n">
        <v>0.08</v>
      </c>
      <c r="D6" s="48" t="n">
        <v>0.14</v>
      </c>
      <c r="E6" s="48" t="n">
        <v>0.19</v>
      </c>
      <c r="F6" s="49">
        <f>CHOOSE($B$3,C6,D6,E6)</f>
        <v/>
      </c>
    </row>
    <row r="7">
      <c r="A7" s="4" t="inlineStr">
        <is>
          <t>Rare Diseases growth 2030-31</t>
        </is>
      </c>
      <c r="C7" s="48" t="n">
        <v>0.05</v>
      </c>
      <c r="D7" s="48" t="n">
        <v>0.09</v>
      </c>
      <c r="E7" s="48" t="n">
        <v>0.12</v>
      </c>
      <c r="F7" s="49">
        <f>CHOOSE($B$3,C7,D7,E7)</f>
        <v/>
      </c>
    </row>
    <row r="8">
      <c r="A8" s="4" t="inlineStr">
        <is>
          <t>Specialty &amp; Primary Care growth p.a.</t>
        </is>
      </c>
      <c r="C8" s="48" t="n">
        <v>-0.01</v>
      </c>
      <c r="D8" s="48" t="n">
        <v>0.02</v>
      </c>
      <c r="E8" s="48" t="n">
        <v>0.035</v>
      </c>
      <c r="F8" s="49">
        <f>CHOOSE($B$3,C8,D8,E8)</f>
        <v/>
      </c>
    </row>
    <row r="9">
      <c r="A9" s="4" t="inlineStr">
        <is>
          <t>EBITDA margin endpoint (by 2029)</t>
        </is>
      </c>
      <c r="C9" s="48" t="n">
        <v>0.36</v>
      </c>
      <c r="D9" s="48" t="n">
        <v>0.3775</v>
      </c>
      <c r="E9" s="48" t="n">
        <v>0.39</v>
      </c>
      <c r="F9" s="49">
        <f>CHOOSE($B$3,C9,D9,E9)</f>
        <v/>
      </c>
    </row>
    <row r="10">
      <c r="A10" s="4" t="inlineStr">
        <is>
          <t>Entry leverage (x FY25 EBITDA €991m)</t>
        </is>
      </c>
      <c r="C10" s="50" t="n">
        <v>5</v>
      </c>
      <c r="D10" s="50" t="n">
        <v>5.5</v>
      </c>
      <c r="E10" s="50" t="n">
        <v>6</v>
      </c>
      <c r="F10" s="51">
        <f>CHOOSE($B$3,C10,D10,E10)</f>
        <v/>
      </c>
    </row>
    <row r="11">
      <c r="A11" s="4" t="inlineStr">
        <is>
          <t>Exit EV/EBITDA multiple</t>
        </is>
      </c>
      <c r="C11" s="50" t="n">
        <v>10</v>
      </c>
      <c r="D11" s="50" t="n">
        <v>11.5</v>
      </c>
      <c r="E11" s="50" t="n">
        <v>12.9</v>
      </c>
      <c r="F11" s="51">
        <f>CHOOSE($B$3,C11,D11,E11)</f>
        <v/>
      </c>
    </row>
    <row r="12">
      <c r="A12" s="4" t="inlineStr">
        <is>
          <t>Cash sweep % of excess FCF</t>
        </is>
      </c>
      <c r="C12" s="48" t="n">
        <v>1</v>
      </c>
      <c r="D12" s="48" t="n">
        <v>1</v>
      </c>
      <c r="E12" s="48" t="n">
        <v>1</v>
      </c>
      <c r="F12" s="49">
        <f>CHOOSE($B$3,C12,D12,E12)</f>
        <v/>
      </c>
    </row>
    <row r="13">
      <c r="A13" s="4" t="inlineStr">
        <is>
          <t>BD / in-licensing spend per year 2027-31 (EUR m)</t>
        </is>
      </c>
      <c r="C13" s="52" t="n">
        <v>0</v>
      </c>
      <c r="D13" s="52" t="n">
        <v>400</v>
      </c>
      <c r="E13" s="52" t="n">
        <v>600</v>
      </c>
      <c r="F13" s="53">
        <f>CHOOSE($B$3,C13,D13,E13)</f>
        <v/>
      </c>
    </row>
    <row r="15">
      <c r="A15" s="3" t="inlineStr">
        <is>
          <t>Fixed inputs</t>
        </is>
      </c>
    </row>
    <row r="16">
      <c r="A16" s="8" t="inlineStr">
        <is>
          <t>FY2025A EBITDA (company-adj, €m)</t>
        </is>
      </c>
      <c r="B16" s="54" t="n">
        <v>991.1</v>
      </c>
    </row>
    <row r="17">
      <c r="A17" s="8" t="inlineStr">
        <is>
          <t>FY2025A revenue (€m)</t>
        </is>
      </c>
      <c r="B17" s="54" t="n">
        <v>2618.4</v>
      </c>
    </row>
    <row r="18">
      <c r="A18" s="8" t="inlineStr">
        <is>
          <t>FY2025A Rare Diseases revenue</t>
        </is>
      </c>
      <c r="B18" s="54" t="n">
        <v>1081.4</v>
      </c>
    </row>
    <row r="19">
      <c r="A19" s="8" t="inlineStr">
        <is>
          <t>FY2025A SPC revenue</t>
        </is>
      </c>
      <c r="B19" s="54" t="n">
        <v>1537</v>
      </c>
    </row>
    <row r="20">
      <c r="A20" s="8" t="inlineStr">
        <is>
          <t>Offer price €/share (ex-div)</t>
        </is>
      </c>
      <c r="B20" s="30" t="n">
        <v>51.29</v>
      </c>
    </row>
    <row r="21">
      <c r="A21" s="8" t="inlineStr">
        <is>
          <t>Shares (m)</t>
        </is>
      </c>
      <c r="B21" s="54" t="n">
        <v>209.125</v>
      </c>
    </row>
    <row r="22">
      <c r="A22" s="8" t="inlineStr">
        <is>
          <t>Equity purchase (max disbursement, €m)</t>
        </is>
      </c>
      <c r="B22" s="54" t="n">
        <v>10726</v>
      </c>
    </row>
    <row r="23">
      <c r="A23" s="8" t="inlineStr">
        <is>
          <t>Existing net debt refinanced (close-date est., =B52)</t>
        </is>
      </c>
      <c r="B23" s="54">
        <f>B52</f>
        <v/>
      </c>
    </row>
    <row r="24">
      <c r="A24" s="8" t="inlineStr">
        <is>
          <t>Advisory/other fees % of EV</t>
        </is>
      </c>
      <c r="B24" s="55" t="n">
        <v>0.0125</v>
      </c>
    </row>
    <row r="25">
      <c r="A25" s="8" t="inlineStr">
        <is>
          <t>OID &amp; financing fees % of new debt</t>
        </is>
      </c>
      <c r="B25" s="55" t="n">
        <v>0.025</v>
      </c>
    </row>
    <row r="26">
      <c r="A26" s="8" t="inlineStr">
        <is>
          <t>Euribor (3M, assumed)</t>
        </is>
      </c>
      <c r="B26" s="55" t="n">
        <v>0.021</v>
      </c>
    </row>
    <row r="27">
      <c r="A27" s="8" t="inlineStr">
        <is>
          <t>TLB-EUR spread</t>
        </is>
      </c>
      <c r="B27" s="55" t="n">
        <v>0.0375</v>
      </c>
    </row>
    <row r="28">
      <c r="A28" s="8" t="inlineStr">
        <is>
          <t>TLB-USD all-in rate</t>
        </is>
      </c>
      <c r="B28" s="55" t="n">
        <v>0.0725</v>
      </c>
    </row>
    <row r="29">
      <c r="A29" s="8" t="inlineStr">
        <is>
          <t>Senior Secured Notes coupon</t>
        </is>
      </c>
      <c r="B29" s="55" t="n">
        <v>0.0675</v>
      </c>
    </row>
    <row r="30">
      <c r="A30" s="8" t="inlineStr">
        <is>
          <t>RCF size (undrawn, €m)</t>
        </is>
      </c>
      <c r="B30" s="54" t="n">
        <v>500</v>
      </c>
    </row>
    <row r="31">
      <c r="A31" s="8" t="inlineStr">
        <is>
          <t>RCF commitment fee</t>
        </is>
      </c>
      <c r="B31" s="55" t="n">
        <v>0.004</v>
      </c>
    </row>
    <row r="32">
      <c r="A32" s="8" t="inlineStr">
        <is>
          <t>Maintenance capex % revenue</t>
        </is>
      </c>
      <c r="B32" s="55" t="n">
        <v>0.0175</v>
      </c>
    </row>
    <row r="33">
      <c r="A33" s="8" t="inlineStr">
        <is>
          <t>D&amp;A % revenue</t>
        </is>
      </c>
      <c r="B33" s="55" t="n">
        <v>0.079</v>
      </c>
    </row>
    <row r="34">
      <c r="A34" s="8" t="inlineStr">
        <is>
          <t>Cash tax rate</t>
        </is>
      </c>
      <c r="B34" s="55" t="n">
        <v>0.24</v>
      </c>
    </row>
    <row r="35">
      <c r="A35" s="8" t="inlineStr">
        <is>
          <t>Change in NWC % of revenue change</t>
        </is>
      </c>
      <c r="B35" s="55" t="n">
        <v>0.15</v>
      </c>
    </row>
    <row r="36">
      <c r="A36" s="8" t="inlineStr">
        <is>
          <t>TLB-EUR % of total debt</t>
        </is>
      </c>
      <c r="B36" s="55" t="n">
        <v>0.55</v>
      </c>
    </row>
    <row r="37">
      <c r="A37" s="8" t="inlineStr">
        <is>
          <t>TLB-USD % of total debt</t>
        </is>
      </c>
      <c r="B37" s="55" t="n">
        <v>0.18</v>
      </c>
    </row>
    <row r="38">
      <c r="A38" s="8" t="inlineStr">
        <is>
          <t>TLB mandatory amortisation p.a.</t>
        </is>
      </c>
      <c r="B38" s="55" t="n">
        <v>0.01</v>
      </c>
    </row>
    <row r="39">
      <c r="A39" s="8" t="inlineStr">
        <is>
          <t>2026 RD growth (guidance-implied)</t>
        </is>
      </c>
      <c r="B39" s="55" t="n">
        <v>0.14</v>
      </c>
    </row>
    <row r="40">
      <c r="A40" s="8" t="inlineStr">
        <is>
          <t>2026 SPC growth (guidance-implied)</t>
        </is>
      </c>
      <c r="B40" s="55" t="n">
        <v>0</v>
      </c>
    </row>
    <row r="41">
      <c r="A41" s="8" t="inlineStr">
        <is>
          <t>2026 EBITDA margin (guidance)</t>
        </is>
      </c>
      <c r="B41" s="55" t="n">
        <v>0.365</v>
      </c>
    </row>
    <row r="42">
      <c r="A42" s="8" t="inlineStr">
        <is>
          <t>Hold period (years, exit end-2031)</t>
        </is>
      </c>
      <c r="B42" s="56" t="n">
        <v>5</v>
      </c>
    </row>
    <row r="43">
      <c r="A43" s="8" t="inlineStr">
        <is>
          <t>BD acquisition multiple (x EBITDA)</t>
        </is>
      </c>
      <c r="B43" s="57" t="n">
        <v>9</v>
      </c>
    </row>
    <row r="44">
      <c r="A44" s="8" t="inlineStr">
        <is>
          <t>Minimum operating cash at close (EUR m)</t>
        </is>
      </c>
      <c r="B44" s="54" t="n">
        <v>250</v>
      </c>
    </row>
    <row r="45">
      <c r="A45" s="8" t="inlineStr">
        <is>
          <t>ATAD interest deduction cap (% of EBITDA)</t>
        </is>
      </c>
      <c r="B45" s="55" t="n">
        <v>0.3</v>
      </c>
    </row>
    <row r="47">
      <c r="A47" s="8" t="inlineStr">
        <is>
          <t>v2: BASE now FUNDS BD (EUR 400m/yr at 9.0x, pre-sweep) per IC direction. Set F13=0 for the conservative no-BD floor.</t>
        </is>
      </c>
    </row>
    <row r="48">
      <c r="A48" s="8" t="inlineStr">
        <is>
          <t>v2: taxes apply the ATAD 30%-of-EBITDA interest deduction cap; EUR 250m minimum cash funded at close; fees 1.25% EV.</t>
        </is>
      </c>
    </row>
    <row r="49">
      <c r="A49" t="inlineStr">
        <is>
          <t>FY25A net debt, gross (announced-deal basis)</t>
        </is>
      </c>
      <c r="B49" t="n">
        <v>2037.3</v>
      </c>
    </row>
    <row r="50">
      <c r="A50" t="inlineStr">
        <is>
          <t>(-) 2026E FCF generated pre-close</t>
        </is>
      </c>
      <c r="B50" t="n">
        <v>-550</v>
      </c>
    </row>
    <row r="51">
      <c r="A51" t="inlineStr">
        <is>
          <t>(+) 2026E dividends paid</t>
        </is>
      </c>
      <c r="B51" t="n">
        <v>280</v>
      </c>
    </row>
    <row r="52">
      <c r="A52" t="inlineStr">
        <is>
          <t>Est. net debt at Q4-26 close (L-confidence)</t>
        </is>
      </c>
      <c r="B52">
        <f>B49+B50+B51</f>
        <v/>
      </c>
    </row>
    <row r="54">
      <c r="A54" t="inlineStr">
        <is>
          <t>v3: net debt refinanced now uses close-date estimate (B52), not FY25A gross (B49). Lowers uses/equity check &amp; entry EV.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selection activeCell="A1" sqref="A1"/>
    </sheetView>
  </sheetViews>
  <sheetFormatPr baseColWidth="8" defaultColWidth="9" defaultRowHeight="16.8"/>
  <cols>
    <col width="46" customWidth="1" min="1" max="1"/>
    <col width="12" customWidth="1" min="2" max="3"/>
    <col width="85" customWidth="1" min="4" max="4"/>
    <col width="12" customWidth="1" min="5" max="15"/>
  </cols>
  <sheetData>
    <row r="1" ht="17.6" customHeight="1">
      <c r="A1" s="1" t="inlineStr">
        <is>
          <t>SOURCE REGISTER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3" t="inlineStr">
        <is>
          <t>Item</t>
        </is>
      </c>
      <c r="B3" s="3" t="inlineStr">
        <is>
          <t>Value</t>
        </is>
      </c>
      <c r="C3" s="3" t="inlineStr">
        <is>
          <t>Conf.</t>
        </is>
      </c>
      <c r="D3" s="3" t="inlineStr">
        <is>
          <t>Source / date</t>
        </is>
      </c>
    </row>
    <row r="4">
      <c r="A4" s="8" t="inlineStr">
        <is>
          <t>Offer terms</t>
        </is>
      </c>
      <c r="B4" s="8" t="inlineStr">
        <is>
          <t>€51.29 ex-div (€52.00 cum); 209,125,156 sh; €10,726.0m</t>
        </is>
      </c>
      <c r="C4" s="8" t="inlineStr">
        <is>
          <t>H</t>
        </is>
      </c>
      <c r="D4" s="8" t="inlineStr">
        <is>
          <t>Offeror PR (CVC IX &amp; GBL via Respighi BidCo), 22-May-2026</t>
        </is>
      </c>
    </row>
    <row r="5">
      <c r="A5" s="8" t="inlineStr">
        <is>
          <t>Premium</t>
        </is>
      </c>
      <c r="B5" s="8" t="inlineStr">
        <is>
          <t>12.89% vs undisturbed 25-Mar-26</t>
        </is>
      </c>
      <c r="C5" s="8" t="inlineStr">
        <is>
          <t>H</t>
        </is>
      </c>
      <c r="D5" s="8" t="inlineStr">
        <is>
          <t>Offeror PR</t>
        </is>
      </c>
    </row>
    <row r="6">
      <c r="A6" s="8" t="inlineStr">
        <is>
          <t>FY25 revenue / EBITDA / net debt</t>
        </is>
      </c>
      <c r="B6" s="8" t="inlineStr">
        <is>
          <t>2,618.4 / 991.1 / 2,037.3</t>
        </is>
      </c>
      <c r="C6" s="8" t="inlineStr">
        <is>
          <t>H</t>
        </is>
      </c>
      <c r="D6" s="8" t="inlineStr">
        <is>
          <t>Recordati FY25 PR 17-Feb-26; accounts approved 19-Mar-26</t>
        </is>
      </c>
    </row>
    <row r="7">
      <c r="A7" s="8" t="inlineStr">
        <is>
          <t>FY26 guidance</t>
        </is>
      </c>
      <c r="B7" s="8" t="inlineStr">
        <is>
          <t>Rev 2,730-2,800; EBITDA 995-1,030 (36.5%)</t>
        </is>
      </c>
      <c r="C7" s="8" t="inlineStr">
        <is>
          <t>H</t>
        </is>
      </c>
      <c r="D7" s="8" t="inlineStr">
        <is>
          <t>FY25 PR</t>
        </is>
      </c>
    </row>
    <row r="8">
      <c r="A8" s="8" t="inlineStr">
        <is>
          <t>Segment FY25</t>
        </is>
      </c>
      <c r="B8" s="8" t="inlineStr">
        <is>
          <t>RD 1,081.4 (+29.7%); SPC ~1,537 derived</t>
        </is>
      </c>
      <c r="C8" s="8" t="inlineStr">
        <is>
          <t>H/M</t>
        </is>
      </c>
      <c r="D8" s="8" t="inlineStr">
        <is>
          <t>FY25 PR / derived</t>
        </is>
      </c>
    </row>
    <row r="9">
      <c r="A9" s="8" t="inlineStr">
        <is>
          <t>Historicals 2021-25</t>
        </is>
      </c>
      <c r="B9" s="8" t="inlineStr">
        <is>
          <t>see 04</t>
        </is>
      </c>
      <c r="C9" s="8" t="inlineStr">
        <is>
          <t>H</t>
        </is>
      </c>
      <c r="D9" s="8" t="inlineStr">
        <is>
          <t>stockanalysis.com (Fiscal.ai), May-26; EBITDA definition note on 04</t>
        </is>
      </c>
    </row>
    <row r="10">
      <c r="A10" s="8" t="inlineStr">
        <is>
          <t>Debt package (actual deal)</t>
        </is>
      </c>
      <c r="B10" s="8" t="inlineStr">
        <is>
          <t>~€5.5-6.0bn sought; up to €8bn pitched</t>
        </is>
      </c>
      <c r="C10" s="8" t="inlineStr">
        <is>
          <t>M</t>
        </is>
      </c>
      <c r="D10" s="8" t="inlineStr">
        <is>
          <t>Bloomberg 17-Apr-26</t>
        </is>
      </c>
    </row>
    <row r="11">
      <c r="A11" s="8" t="inlineStr">
        <is>
          <t>Debt pricing assumptions</t>
        </is>
      </c>
      <c r="B11" s="8" t="inlineStr">
        <is>
          <t>TLB E+375; USD 7.25%; SSN 6.75%; OID 2.5%</t>
        </is>
      </c>
      <c r="C11" s="8" t="inlineStr">
        <is>
          <t>L/M</t>
        </is>
      </c>
      <c r="D11" s="8" t="inlineStr">
        <is>
          <t>Market convention; Euribor 2.1% assumed (refresh at close)</t>
        </is>
      </c>
    </row>
    <row r="12">
      <c r="A12" s="8" t="inlineStr">
        <is>
          <t>Rossini 2018 entry</t>
        </is>
      </c>
      <c r="B12" s="8" t="inlineStr">
        <is>
          <t>€28.00/sh; 12.9x 2017 EBITDA; €3.03bn for 51.8%</t>
        </is>
      </c>
      <c r="C12" s="8" t="inlineStr">
        <is>
          <t>H</t>
        </is>
      </c>
      <c r="D12" s="8" t="inlineStr">
        <is>
          <t>Unquote/CVC PR 2018</t>
        </is>
      </c>
    </row>
    <row r="13">
      <c r="A13" s="8" t="inlineStr">
        <is>
          <t>Isturisa peak sales</t>
        </is>
      </c>
      <c r="B13" s="8" t="inlineStr">
        <is>
          <t>&gt;€1.2bn (doubled Nov-25)</t>
        </is>
      </c>
      <c r="C13" s="8" t="inlineStr">
        <is>
          <t>H</t>
        </is>
      </c>
      <c r="D13" s="8" t="inlineStr">
        <is>
          <t>Recordati 9M-25 PR 11-Nov-25</t>
        </is>
      </c>
    </row>
    <row r="14">
      <c r="A14" s="8" t="inlineStr">
        <is>
          <t>Maintenance capex / tax</t>
        </is>
      </c>
      <c r="B14" s="8" t="inlineStr">
        <is>
          <t>1.5-2.0% rev / 24%</t>
        </is>
      </c>
      <c r="C14" s="8" t="inlineStr">
        <is>
          <t>H</t>
        </is>
      </c>
      <c r="D14" s="8" t="inlineStr">
        <is>
          <t>Fiscal.ai 2021-25: capex 22-39m, ETR 20.7-23.9%</t>
        </is>
      </c>
    </row>
    <row r="15">
      <c r="A15" s="8" t="inlineStr">
        <is>
          <t>Structure &amp; scenario paths</t>
        </is>
      </c>
      <c r="B15" s="8" t="inlineStr">
        <is>
          <t>03 Assumptions</t>
        </is>
      </c>
      <c r="C15" s="8" t="inlineStr">
        <is>
          <t>L/M</t>
        </is>
      </c>
      <c r="D15" s="8" t="inlineStr">
        <is>
          <t>Analyst judgment; see project Assumptions Register</t>
        </is>
      </c>
    </row>
    <row r="18">
      <c r="A18" s="8" t="inlineStr">
        <is>
          <t>Page citations: offer terms — Offeror PR pp.1-2; FY25 figures — FY25 PR headline table; segments — FY25/Q1-25 PRs.</t>
        </is>
      </c>
    </row>
    <row r="19">
      <c r="A19" s="8" t="inlineStr">
        <is>
          <t>No annotated screenshots (environment limitation); citations are table-level and PDFs are linked in the project Bibliography.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ColWidth="9" defaultRowHeight="16.8"/>
  <cols>
    <col width="46" customWidth="1" min="1" max="1"/>
    <col width="12" customWidth="1" min="2" max="15"/>
  </cols>
  <sheetData>
    <row r="1" ht="17.6" customHeight="1">
      <c r="A1" s="1" t="inlineStr">
        <is>
          <t>HISTORICAL FINANCIALS 2021-2025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3" t="inlineStr">
        <is>
          <t>€m</t>
        </is>
      </c>
      <c r="B3" s="3" t="inlineStr">
        <is>
          <t>2021</t>
        </is>
      </c>
      <c r="C3" s="3" t="inlineStr">
        <is>
          <t>2022</t>
        </is>
      </c>
      <c r="D3" s="3" t="inlineStr">
        <is>
          <t>2023</t>
        </is>
      </c>
      <c r="E3" s="3" t="inlineStr">
        <is>
          <t>2024</t>
        </is>
      </c>
      <c r="F3" s="3" t="inlineStr">
        <is>
          <t>2025</t>
        </is>
      </c>
    </row>
    <row r="4">
      <c r="A4" s="8" t="inlineStr">
        <is>
          <t>Revenue</t>
        </is>
      </c>
      <c r="B4" s="54" t="n">
        <v>1580</v>
      </c>
      <c r="C4" s="54" t="n">
        <v>1853</v>
      </c>
      <c r="D4" s="54" t="n">
        <v>2082</v>
      </c>
      <c r="E4" s="54" t="n">
        <v>2342</v>
      </c>
      <c r="F4" s="54" t="n">
        <v>2618.4</v>
      </c>
    </row>
    <row r="5">
      <c r="A5" s="8" t="inlineStr">
        <is>
          <t>Company-adj. EBITDA</t>
        </is>
      </c>
      <c r="B5" s="54" t="n">
        <v>588</v>
      </c>
      <c r="C5" s="54" t="n">
        <v>692</v>
      </c>
      <c r="D5" s="54" t="n">
        <v>770</v>
      </c>
      <c r="E5" s="54" t="n">
        <v>865.8</v>
      </c>
      <c r="F5" s="54" t="n">
        <v>991.1</v>
      </c>
    </row>
    <row r="6">
      <c r="A6" s="8" t="inlineStr">
        <is>
          <t>R&amp;D expense</t>
        </is>
      </c>
      <c r="B6" s="54" t="n">
        <v>166</v>
      </c>
      <c r="C6" s="54" t="n">
        <v>220</v>
      </c>
      <c r="D6" s="54" t="n">
        <v>256</v>
      </c>
      <c r="E6" s="54" t="n">
        <v>286</v>
      </c>
      <c r="F6" s="54" t="n">
        <v>341</v>
      </c>
    </row>
    <row r="7">
      <c r="A7" s="8" t="inlineStr">
        <is>
          <t>Operating cash flow</t>
        </is>
      </c>
      <c r="B7" s="54" t="n">
        <v>492</v>
      </c>
      <c r="C7" s="54" t="n">
        <v>462</v>
      </c>
      <c r="D7" s="54" t="n">
        <v>485</v>
      </c>
      <c r="E7" s="54" t="n">
        <v>570</v>
      </c>
      <c r="F7" s="54" t="n">
        <v>597</v>
      </c>
    </row>
    <row r="8">
      <c r="A8" s="8" t="inlineStr">
        <is>
          <t>PP&amp;E capex</t>
        </is>
      </c>
      <c r="B8" s="54" t="n">
        <v>22</v>
      </c>
      <c r="C8" s="54" t="n">
        <v>24</v>
      </c>
      <c r="D8" s="54" t="n">
        <v>30</v>
      </c>
      <c r="E8" s="54" t="n">
        <v>37</v>
      </c>
      <c r="F8" s="54" t="n">
        <v>39</v>
      </c>
    </row>
    <row r="9">
      <c r="A9" s="8" t="inlineStr">
        <is>
          <t>FCF (OCF - capex)</t>
        </is>
      </c>
      <c r="B9" s="54" t="n">
        <v>470</v>
      </c>
      <c r="C9" s="54" t="n">
        <v>438</v>
      </c>
      <c r="D9" s="54" t="n">
        <v>456</v>
      </c>
      <c r="E9" s="54" t="n">
        <v>533</v>
      </c>
      <c r="F9" s="54" t="n">
        <v>557</v>
      </c>
    </row>
    <row r="10">
      <c r="A10" s="8" t="inlineStr">
        <is>
          <t>Intangibles purchased (BD/in-licensing)</t>
        </is>
      </c>
      <c r="B10" s="54" t="n">
        <v>66</v>
      </c>
      <c r="C10" s="54" t="n">
        <v>72</v>
      </c>
      <c r="D10" s="54" t="n">
        <v>354</v>
      </c>
      <c r="E10" s="54" t="n">
        <v>815</v>
      </c>
      <c r="F10" s="54" t="n">
        <v>46</v>
      </c>
    </row>
    <row r="11">
      <c r="A11" s="8" t="inlineStr">
        <is>
          <t>DPS (€)</t>
        </is>
      </c>
      <c r="B11" s="30" t="n">
        <v>1.1</v>
      </c>
      <c r="C11" s="30" t="n">
        <v>1.15</v>
      </c>
      <c r="D11" s="30" t="n">
        <v>1.2</v>
      </c>
      <c r="E11" s="30" t="n">
        <v>1.27</v>
      </c>
      <c r="F11" s="30" t="n">
        <v>1.34</v>
      </c>
    </row>
    <row r="12">
      <c r="A12" s="8" t="inlineStr">
        <is>
          <t>Effective tax rate</t>
        </is>
      </c>
      <c r="B12" s="55" t="n">
        <v>0.167</v>
      </c>
      <c r="C12" s="55" t="n">
        <v>0.222</v>
      </c>
      <c r="D12" s="55" t="n">
        <v>0.207</v>
      </c>
      <c r="E12" s="55" t="n">
        <v>0.239</v>
      </c>
      <c r="F12" s="55" t="n">
        <v>0.237</v>
      </c>
    </row>
    <row r="13">
      <c r="A13" s="8" t="inlineStr">
        <is>
          <t>Net debt (year-end)</t>
        </is>
      </c>
      <c r="E13" s="54" t="n">
        <v>1875</v>
      </c>
      <c r="F13" s="54" t="n">
        <v>2037.3</v>
      </c>
    </row>
    <row r="15">
      <c r="A15" s="8" t="inlineStr">
        <is>
          <t>EBITDA margin</t>
        </is>
      </c>
      <c r="B15" s="58">
        <f>B5/B4</f>
        <v/>
      </c>
      <c r="C15" s="58">
        <f>C5/C4</f>
        <v/>
      </c>
      <c r="D15" s="58">
        <f>D5/D4</f>
        <v/>
      </c>
      <c r="E15" s="58">
        <f>E5/E4</f>
        <v/>
      </c>
      <c r="F15" s="58">
        <f>F5/F4</f>
        <v/>
      </c>
    </row>
    <row r="16">
      <c r="A16" s="8" t="inlineStr">
        <is>
          <t>Revenue growth</t>
        </is>
      </c>
      <c r="C16" s="58">
        <f>C4/B4-1</f>
        <v/>
      </c>
      <c r="D16" s="58">
        <f>D4/C4-1</f>
        <v/>
      </c>
      <c r="E16" s="58">
        <f>E4/D4-1</f>
        <v/>
      </c>
      <c r="F16" s="58">
        <f>F4/E4-1</f>
        <v/>
      </c>
    </row>
    <row r="17">
      <c r="A17" s="8" t="inlineStr">
        <is>
          <t>FCF / EBITDA conversion</t>
        </is>
      </c>
      <c r="B17" s="58">
        <f>B9/B5</f>
        <v/>
      </c>
      <c r="C17" s="58">
        <f>C9/C5</f>
        <v/>
      </c>
      <c r="D17" s="58">
        <f>D9/D5</f>
        <v/>
      </c>
      <c r="E17" s="58">
        <f>E9/E5</f>
        <v/>
      </c>
      <c r="F17" s="58">
        <f>F9/F5</f>
        <v/>
      </c>
    </row>
    <row r="19">
      <c r="A19" s="8" t="inlineStr">
        <is>
          <t>NOTE: 2021-24 EBITDA shown uses company-adjusted definition where available; aggregator-standardised EBITDA differs</t>
        </is>
      </c>
    </row>
    <row r="20">
      <c r="A20" s="8" t="inlineStr">
        <is>
          <t>(2025: 877 standardised vs 991 company-adj). Deal math throughout uses the COMPANY-ADJUSTED figure (offer-consistent).</t>
        </is>
      </c>
    </row>
    <row r="21">
      <c r="A21" s="8" t="inlineStr">
        <is>
          <t>Growth engine runs through the intangibles line (Enjaymo €815m in 2024) — base case deliberately excludes BD spend.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selection activeCell="A1" sqref="A1"/>
    </sheetView>
  </sheetViews>
  <sheetFormatPr baseColWidth="8" defaultColWidth="9" defaultRowHeight="16.8"/>
  <cols>
    <col width="46" customWidth="1" min="1" max="1"/>
    <col width="12" customWidth="1" min="2" max="15"/>
  </cols>
  <sheetData>
    <row r="1" ht="17.6" customHeight="1">
      <c r="A1" s="1" t="inlineStr">
        <is>
          <t>TRANSACTION OVERVIEW — CVC IX &amp; GBL / RESPIGHI BIDCO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3" t="inlineStr">
        <is>
          <t>Announcement</t>
        </is>
      </c>
      <c r="C3" s="8" t="inlineStr">
        <is>
          <t>22 May 2026 (non-binding interest 25-Mar-26)</t>
        </is>
      </c>
    </row>
    <row r="4">
      <c r="A4" s="3" t="inlineStr">
        <is>
          <t>Structure</t>
        </is>
      </c>
      <c r="C4" s="8" t="inlineStr">
        <is>
          <t>Voluntary totalitarian cash tender offer; delisting from Euronext Milan</t>
        </is>
      </c>
    </row>
    <row r="5">
      <c r="A5" s="3" t="inlineStr">
        <is>
          <t>Offer price</t>
        </is>
      </c>
      <c r="C5" s="8" t="inlineStr">
        <is>
          <t>€51.29 ex-div (€52.00 cum 2025 final dividend €0.71)</t>
        </is>
      </c>
    </row>
    <row r="6">
      <c r="A6" s="3" t="inlineStr">
        <is>
          <t>Premium</t>
        </is>
      </c>
      <c r="C6" s="8" t="inlineStr">
        <is>
          <t>12.89% vs undisturbed 25-Mar-26 (low: Rossini 46.82% pre-committed)</t>
        </is>
      </c>
    </row>
    <row r="7">
      <c r="A7" s="3" t="inlineStr">
        <is>
          <t>Rossini</t>
        </is>
      </c>
      <c r="C7" s="8" t="inlineStr">
        <is>
          <t>CVC VII vehicle, 46.82%, irrevocably tendering — effectively CVC VII → CVC IX continuation</t>
        </is>
      </c>
    </row>
    <row r="8">
      <c r="A8" s="3" t="inlineStr">
        <is>
          <t>Co-investors</t>
        </is>
      </c>
      <c r="C8" s="8" t="inlineStr">
        <is>
          <t>GBL (≤~€1.3bn), ADIA/Luxinva, CPPIB, PSP, StepStone, AlpInvest, MGG, CapSol, A. Recordati rollover</t>
        </is>
      </c>
    </row>
    <row r="9">
      <c r="A9" s="3" t="inlineStr">
        <is>
          <t>Financing</t>
        </is>
      </c>
      <c r="C9" s="8" t="inlineStr">
        <is>
          <t>Fully committed; ~€5.5-6.0bn debt sought (Mediobanca, GS, Jefferies, JPM, DB)</t>
        </is>
      </c>
    </row>
    <row r="10">
      <c r="A10" s="3" t="inlineStr">
        <is>
          <t>Conditions</t>
        </is>
      </c>
      <c r="C10" s="8" t="inlineStr">
        <is>
          <t>≥66.67% acceptance; antitrust/FDI/FSR</t>
        </is>
      </c>
    </row>
    <row r="11">
      <c r="A11" s="3" t="inlineStr">
        <is>
          <t>Timeline</t>
        </is>
      </c>
      <c r="C11" s="8" t="inlineStr">
        <is>
          <t>Closing expected Q4 2026; squeeze-out/merger thereafter</t>
        </is>
      </c>
    </row>
    <row r="12">
      <c r="A12" s="3" t="inlineStr">
        <is>
          <t>Rationale (offeror)</t>
        </is>
      </c>
      <c r="C12" s="8" t="inlineStr">
        <is>
          <t>Private ownership for higher-risk BD/R&amp;D phase without public-market earnings scrutiny</t>
        </is>
      </c>
    </row>
    <row r="15">
      <c r="A15" s="8" t="inlineStr">
        <is>
          <t>THIS MODEL: an INDEPENDENT underwrite at the same price — sponsor economics tested blind, then reconciled (13 Dashboard).</t>
        </is>
      </c>
    </row>
    <row r="16">
      <c r="A16" s="8" t="inlineStr">
        <is>
          <t>Why the market traded at EUR 46 undisturbed: FY26 margin guide-down (37.8%-&gt;36.5%), FX headwind ~-3.5%, US policy</t>
        </is>
      </c>
    </row>
    <row r="17">
      <c r="A17" s="8" t="inlineStr">
        <is>
          <t>overhang and Isturisa competitive risk - i.e. the public market partially priced the risks our bear case models. The low</t>
        </is>
      </c>
    </row>
    <row r="18">
      <c r="A18" s="8" t="inlineStr">
        <is>
          <t>12.89% premium cleared because Rossini (46.82%) pre-committed; minorities had no effective blocking position.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selection activeCell="A6" sqref="A6"/>
    </sheetView>
  </sheetViews>
  <sheetFormatPr baseColWidth="8" defaultColWidth="9" defaultRowHeight="16.8"/>
  <cols>
    <col width="46" customWidth="1" min="1" max="1"/>
    <col width="12" customWidth="1" min="2" max="15"/>
  </cols>
  <sheetData>
    <row r="1" ht="17.6" customHeight="1">
      <c r="A1" s="1" t="inlineStr">
        <is>
          <t>SOURCES &amp; USES (at close, 31-Dec-2026)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3" t="inlineStr">
        <is>
          <t>USES (€m)</t>
        </is>
      </c>
    </row>
    <row r="4">
      <c r="A4" s="4" t="inlineStr">
        <is>
          <t>Equity purchase price</t>
        </is>
      </c>
      <c r="B4" s="59">
        <f>'03 Assumptions'!B22</f>
        <v/>
      </c>
    </row>
    <row r="5">
      <c r="A5" s="4" t="inlineStr">
        <is>
          <t>Refinance existing net debt</t>
        </is>
      </c>
      <c r="B5" s="59">
        <f>'03 Assumptions'!B23</f>
        <v/>
      </c>
    </row>
    <row r="6">
      <c r="A6" s="4" t="inlineStr">
        <is>
          <t>Advisory &amp; other fees (1.25% of EV, = 03!B24)</t>
        </is>
      </c>
      <c r="B6" s="59">
        <f>'03 Assumptions'!B24*('07 Purchase Price'!B7)</f>
        <v/>
      </c>
    </row>
    <row r="7">
      <c r="A7" s="4" t="inlineStr">
        <is>
          <t>OID &amp; financing fees (2.5% of new debt)</t>
        </is>
      </c>
      <c r="B7" s="59">
        <f>'03 Assumptions'!B25*B13</f>
        <v/>
      </c>
    </row>
    <row r="8">
      <c r="A8" s="4" t="inlineStr">
        <is>
          <t>Minimum operating cash to balance sheet</t>
        </is>
      </c>
      <c r="B8" s="60">
        <f>'03 Assumptions'!B44</f>
        <v/>
      </c>
    </row>
    <row r="9">
      <c r="A9" s="3" t="inlineStr">
        <is>
          <t>TOTAL USES</t>
        </is>
      </c>
      <c r="B9" s="53">
        <f>SUM(B4:B8)</f>
        <v/>
      </c>
    </row>
    <row r="11">
      <c r="A11" s="3" t="inlineStr">
        <is>
          <t>SOURCES (EUR m)</t>
        </is>
      </c>
    </row>
    <row r="12">
      <c r="A12" s="8" t="inlineStr">
        <is>
          <t>Total new debt = leverage x FY25A EBITDA</t>
        </is>
      </c>
      <c r="B12" s="45">
        <f>'03 Assumptions'!F10</f>
        <v/>
      </c>
    </row>
    <row r="13">
      <c r="A13" s="8" t="inlineStr">
        <is>
          <t xml:space="preserve">  Total debt (EUR m)</t>
        </is>
      </c>
      <c r="B13" s="59">
        <f>'03 Assumptions'!F10*'03 Assumptions'!B16</f>
        <v/>
      </c>
    </row>
    <row r="14">
      <c r="A14" s="8" t="inlineStr">
        <is>
          <t xml:space="preserve">  Term Loan B (EUR) - E+375, 1% amort</t>
        </is>
      </c>
      <c r="B14" s="59">
        <f>B13*'03 Assumptions'!B36</f>
        <v/>
      </c>
    </row>
    <row r="15">
      <c r="A15" s="8" t="inlineStr">
        <is>
          <t xml:space="preserve">  Term Loan B (USD) - 7.25% all-in, 1% amort</t>
        </is>
      </c>
      <c r="B15" s="59">
        <f>B13*'03 Assumptions'!B37</f>
        <v/>
      </c>
    </row>
    <row r="16">
      <c r="A16" s="8" t="inlineStr">
        <is>
          <t xml:space="preserve">  Senior Secured Notes - 6.75%, bullet</t>
        </is>
      </c>
      <c r="B16" s="59">
        <f>B13-B14-B15</f>
        <v/>
      </c>
    </row>
    <row r="17">
      <c r="A17" s="8" t="inlineStr">
        <is>
          <t xml:space="preserve">  RCF EUR 500m - undrawn at close</t>
        </is>
      </c>
      <c r="B17" s="52" t="n">
        <v>0</v>
      </c>
    </row>
    <row r="18">
      <c r="A18" s="3" t="inlineStr">
        <is>
          <t>Sponsor &amp; co-invest equity (plug)</t>
        </is>
      </c>
      <c r="B18" s="53">
        <f>B9-B13</f>
        <v/>
      </c>
    </row>
    <row r="19">
      <c r="A19" s="3" t="inlineStr">
        <is>
          <t>TOTAL SOURCES</t>
        </is>
      </c>
      <c r="B19" s="59">
        <f>B13+B17+B18</f>
        <v/>
      </c>
    </row>
    <row r="21">
      <c r="A21" s="23">
        <f>IF(ABS(B19-B9)&lt;0.1,"CHECK OK: sources = uses","ERROR: S&amp;U do not balance")</f>
        <v/>
      </c>
    </row>
    <row r="22">
      <c r="A22" s="8" t="inlineStr">
        <is>
          <t>Equity % of capitalisation</t>
        </is>
      </c>
      <c r="B22" s="58">
        <f>B18/B19</f>
        <v/>
      </c>
    </row>
    <row r="23">
      <c r="A23" s="8" t="inlineStr">
        <is>
          <t>USD tranche = natural hedge against US rare-disease revenue (dossier s.12).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0" workbookViewId="0">
      <selection activeCell="A1" sqref="A1"/>
    </sheetView>
  </sheetViews>
  <sheetFormatPr baseColWidth="8" defaultColWidth="9" defaultRowHeight="16.8"/>
  <cols>
    <col width="46" customWidth="1" min="1" max="1"/>
    <col width="12" customWidth="1" min="2" max="15"/>
  </cols>
  <sheetData>
    <row r="1" ht="17.6" customHeight="1">
      <c r="A1" s="1" t="inlineStr">
        <is>
          <t>PURCHASE PRICE &amp; ENTRY MULTIPLES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4" t="inlineStr">
        <is>
          <t>Offer price (€/share, ex-div)</t>
        </is>
      </c>
      <c r="B3" s="24">
        <f>'03 Assumptions'!B20</f>
        <v/>
      </c>
    </row>
    <row r="4">
      <c r="A4" s="4" t="inlineStr">
        <is>
          <t>Shares outstanding (m)</t>
        </is>
      </c>
      <c r="B4" s="60">
        <f>'03 Assumptions'!B21</f>
        <v/>
      </c>
    </row>
    <row r="5">
      <c r="A5" s="4" t="inlineStr">
        <is>
          <t>Equity purchase price (€m)</t>
        </is>
      </c>
      <c r="B5" s="60">
        <f>'03 Assumptions'!B22</f>
        <v/>
      </c>
    </row>
    <row r="6">
      <c r="A6" s="4" t="inlineStr">
        <is>
          <t>(+) Existing net debt refinanced</t>
        </is>
      </c>
      <c r="B6" s="60">
        <f>'03 Assumptions'!B23</f>
        <v/>
      </c>
    </row>
    <row r="7">
      <c r="A7" s="4" t="inlineStr">
        <is>
          <t>Enterprise value (€m)</t>
        </is>
      </c>
      <c r="B7" s="59">
        <f>B5+B6</f>
        <v/>
      </c>
    </row>
    <row r="8">
      <c r="A8" s="4" t="inlineStr">
        <is>
          <t>EV / FY2025A EBITDA (close-date net debt, independent)</t>
        </is>
      </c>
      <c r="B8" s="61">
        <f>B7/'03 Assumptions'!B16</f>
        <v/>
      </c>
    </row>
    <row r="9">
      <c r="A9" s="4" t="inlineStr">
        <is>
          <t>EV / FY2026E EBITDA (model)</t>
        </is>
      </c>
      <c r="B9" s="61">
        <f>B7/'09 Operating Model'!F18</f>
        <v/>
      </c>
    </row>
    <row r="10">
      <c r="A10" s="4" t="inlineStr">
        <is>
          <t>Cum-dividend price (€52.00) vs undisturbed €46.06</t>
        </is>
      </c>
      <c r="B10" s="62">
        <f>52/46.06-1</f>
        <v/>
      </c>
    </row>
    <row r="11">
      <c r="A11" s="8" t="inlineStr">
        <is>
          <t>STRESS: EV / standardised (aggregator) EBITDA EUR 877m</t>
        </is>
      </c>
      <c r="B11" s="61">
        <f>B7/877</f>
        <v/>
      </c>
    </row>
    <row r="12">
      <c r="A12" s="8" t="inlineStr">
        <is>
          <t>Reference: Rossini/CVC VII entered 2018 at €28.00/sh = 12.9x 2017 EBITDA — identical multiple, zero expansion over 8 years.</t>
        </is>
      </c>
    </row>
    <row r="13">
      <c r="A13" s="23">
        <f>IF(ABS(B14-12.87)&lt;0.15,"CHECK OK: announced-basis entry ~12.9x ties to deal math","CHECK: entry multiple deviates from deal math")</f>
        <v/>
      </c>
    </row>
    <row r="14">
      <c r="A14" t="inlineStr">
        <is>
          <t>Ref: EV/EBITDA on FY25A gross ND EUR 2,037m (announced-deal basis)</t>
        </is>
      </c>
      <c r="B14">
        <f>(B5+'03 Assumptions'!B49)/'03 Assumptions'!B16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selection activeCell="A1" sqref="A1"/>
    </sheetView>
  </sheetViews>
  <sheetFormatPr baseColWidth="8" defaultColWidth="9" defaultRowHeight="16.8"/>
  <cols>
    <col width="46" customWidth="1" min="1" max="1"/>
    <col width="12" customWidth="1" min="2" max="15"/>
  </cols>
  <sheetData>
    <row r="1" ht="17.6" customHeight="1">
      <c r="A1" s="1" t="inlineStr">
        <is>
          <t>OPERATING MODEL - RD / SPC SPLIT (organic; row 17-18 add BD-acquired EBITDA)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3" t="inlineStr">
        <is>
          <t>€m</t>
        </is>
      </c>
      <c r="F3" s="3" t="inlineStr">
        <is>
          <t>2026E</t>
        </is>
      </c>
      <c r="G3" s="3" t="inlineStr">
        <is>
          <t>2027</t>
        </is>
      </c>
      <c r="H3" s="3" t="inlineStr">
        <is>
          <t>2028</t>
        </is>
      </c>
      <c r="I3" s="3" t="inlineStr">
        <is>
          <t>2029</t>
        </is>
      </c>
      <c r="J3" s="3" t="inlineStr">
        <is>
          <t>2030</t>
        </is>
      </c>
      <c r="K3" s="3" t="inlineStr">
        <is>
          <t>2031</t>
        </is>
      </c>
    </row>
    <row r="4">
      <c r="A4" s="8" t="inlineStr">
        <is>
          <t>Year of hold (t)</t>
        </is>
      </c>
      <c r="G4" s="63" t="n">
        <v>1</v>
      </c>
      <c r="H4" s="63" t="n">
        <v>2</v>
      </c>
      <c r="I4" s="63" t="n">
        <v>3</v>
      </c>
      <c r="J4" s="63" t="n">
        <v>4</v>
      </c>
      <c r="K4" s="63" t="n">
        <v>5</v>
      </c>
    </row>
    <row r="5">
      <c r="A5" s="8" t="inlineStr">
        <is>
          <t>Rare Diseases revenue</t>
        </is>
      </c>
      <c r="F5" s="64">
        <f>'03 Assumptions'!B18*(1+'03 Assumptions'!B39)</f>
        <v/>
      </c>
      <c r="G5" s="64">
        <f>F5*(1+IF(G4&lt;=3,'03 Assumptions'!$F$6,'03 Assumptions'!$F$7))</f>
        <v/>
      </c>
      <c r="H5" s="64">
        <f>G5*(1+IF(H4&lt;=3,'03 Assumptions'!$F$6,'03 Assumptions'!$F$7))</f>
        <v/>
      </c>
      <c r="I5" s="64">
        <f>H5*(1+IF(I4&lt;=3,'03 Assumptions'!$F$6,'03 Assumptions'!$F$7))</f>
        <v/>
      </c>
      <c r="J5" s="64">
        <f>I5*(1+IF(J4&lt;=3,'03 Assumptions'!$F$6,'03 Assumptions'!$F$7))</f>
        <v/>
      </c>
      <c r="K5" s="64">
        <f>J5*(1+IF(K4&lt;=3,'03 Assumptions'!$F$6,'03 Assumptions'!$F$7))</f>
        <v/>
      </c>
    </row>
    <row r="6">
      <c r="A6" s="8" t="inlineStr">
        <is>
          <t>SPC revenue</t>
        </is>
      </c>
      <c r="F6" s="64">
        <f>'03 Assumptions'!B19*(1+'03 Assumptions'!B40)</f>
        <v/>
      </c>
      <c r="G6" s="64">
        <f>F6*(1+'03 Assumptions'!$F$8)</f>
        <v/>
      </c>
      <c r="H6" s="64">
        <f>G6*(1+'03 Assumptions'!$F$8)</f>
        <v/>
      </c>
      <c r="I6" s="64">
        <f>H6*(1+'03 Assumptions'!$F$8)</f>
        <v/>
      </c>
      <c r="J6" s="64">
        <f>I6*(1+'03 Assumptions'!$F$8)</f>
        <v/>
      </c>
      <c r="K6" s="64">
        <f>J6*(1+'03 Assumptions'!$F$8)</f>
        <v/>
      </c>
    </row>
    <row r="7">
      <c r="A7" s="3" t="inlineStr">
        <is>
          <t>Total revenue</t>
        </is>
      </c>
      <c r="F7" s="64">
        <f>F5+F6</f>
        <v/>
      </c>
      <c r="G7" s="64">
        <f>G5+G6</f>
        <v/>
      </c>
      <c r="H7" s="64">
        <f>H5+H6</f>
        <v/>
      </c>
      <c r="I7" s="64">
        <f>I5+I6</f>
        <v/>
      </c>
      <c r="J7" s="64">
        <f>J5+J6</f>
        <v/>
      </c>
      <c r="K7" s="64">
        <f>K5+K6</f>
        <v/>
      </c>
    </row>
    <row r="8">
      <c r="A8" s="3" t="inlineStr">
        <is>
          <t>EBITDA</t>
        </is>
      </c>
      <c r="F8" s="64">
        <f>F7*'03 Assumptions'!B41</f>
        <v/>
      </c>
      <c r="G8" s="64">
        <f>G7*('03 Assumptions'!$B$41+('03 Assumptions'!$F$9-'03 Assumptions'!$B$41)*MIN(G4,3)/3)</f>
        <v/>
      </c>
      <c r="H8" s="64">
        <f>H7*('03 Assumptions'!$B$41+('03 Assumptions'!$F$9-'03 Assumptions'!$B$41)*MIN(H4,3)/3)</f>
        <v/>
      </c>
      <c r="I8" s="64">
        <f>I7*('03 Assumptions'!$B$41+('03 Assumptions'!$F$9-'03 Assumptions'!$B$41)*MIN(I4,3)/3)</f>
        <v/>
      </c>
      <c r="J8" s="64">
        <f>J7*('03 Assumptions'!$B$41+('03 Assumptions'!$F$9-'03 Assumptions'!$B$41)*MIN(J4,3)/3)</f>
        <v/>
      </c>
      <c r="K8" s="64">
        <f>K7*('03 Assumptions'!$B$41+('03 Assumptions'!$F$9-'03 Assumptions'!$B$41)*MIN(K4,3)/3)</f>
        <v/>
      </c>
    </row>
    <row r="9">
      <c r="A9" s="8" t="inlineStr">
        <is>
          <t>EBITDA margin</t>
        </is>
      </c>
      <c r="F9" s="58">
        <f>F8/F7</f>
        <v/>
      </c>
      <c r="G9" s="58">
        <f>G8/G7</f>
        <v/>
      </c>
      <c r="H9" s="58">
        <f>H8/H7</f>
        <v/>
      </c>
      <c r="I9" s="58">
        <f>I8/I7</f>
        <v/>
      </c>
      <c r="J9" s="58">
        <f>J8/J7</f>
        <v/>
      </c>
      <c r="K9" s="58">
        <f>K8/K7</f>
        <v/>
      </c>
    </row>
    <row r="10">
      <c r="A10" s="8" t="inlineStr">
        <is>
          <t>D&amp;A</t>
        </is>
      </c>
      <c r="F10" s="64">
        <f>-F7*'03 Assumptions'!$B$33</f>
        <v/>
      </c>
      <c r="G10" s="64">
        <f>-G7*'03 Assumptions'!$B$33</f>
        <v/>
      </c>
      <c r="H10" s="64">
        <f>-H7*'03 Assumptions'!$B$33</f>
        <v/>
      </c>
      <c r="I10" s="64">
        <f>-I7*'03 Assumptions'!$B$33</f>
        <v/>
      </c>
      <c r="J10" s="64">
        <f>-J7*'03 Assumptions'!$B$33</f>
        <v/>
      </c>
      <c r="K10" s="64">
        <f>-K7*'03 Assumptions'!$B$33</f>
        <v/>
      </c>
    </row>
    <row r="11">
      <c r="A11" s="8" t="inlineStr">
        <is>
          <t>EBIT</t>
        </is>
      </c>
      <c r="F11" s="64">
        <f>F8+F10</f>
        <v/>
      </c>
      <c r="G11" s="64">
        <f>G8+G10</f>
        <v/>
      </c>
      <c r="H11" s="64">
        <f>H8+H10</f>
        <v/>
      </c>
      <c r="I11" s="64">
        <f>I8+I10</f>
        <v/>
      </c>
      <c r="J11" s="64">
        <f>J8+J10</f>
        <v/>
      </c>
      <c r="K11" s="64">
        <f>K8+K10</f>
        <v/>
      </c>
    </row>
    <row r="12">
      <c r="A12" s="8" t="inlineStr">
        <is>
          <t>Maintenance capex</t>
        </is>
      </c>
      <c r="F12" s="64">
        <f>-F7*'03 Assumptions'!$B$32</f>
        <v/>
      </c>
      <c r="G12" s="64">
        <f>-G7*'03 Assumptions'!$B$32</f>
        <v/>
      </c>
      <c r="H12" s="64">
        <f>-H7*'03 Assumptions'!$B$32</f>
        <v/>
      </c>
      <c r="I12" s="64">
        <f>-I7*'03 Assumptions'!$B$32</f>
        <v/>
      </c>
      <c r="J12" s="64">
        <f>-J7*'03 Assumptions'!$B$32</f>
        <v/>
      </c>
      <c r="K12" s="64">
        <f>-K7*'03 Assumptions'!$B$32</f>
        <v/>
      </c>
    </row>
    <row r="13">
      <c r="A13" s="8" t="inlineStr">
        <is>
          <t>Change in NWC (cash out)</t>
        </is>
      </c>
      <c r="F13" s="64">
        <f>-(F7-'03 Assumptions'!B17)*'03 Assumptions'!$B$35</f>
        <v/>
      </c>
      <c r="G13" s="64">
        <f>-(G7-F7)*'03 Assumptions'!$B$35</f>
        <v/>
      </c>
      <c r="H13" s="64">
        <f>-(H7-G7)*'03 Assumptions'!$B$35</f>
        <v/>
      </c>
      <c r="I13" s="64">
        <f>-(I7-H7)*'03 Assumptions'!$B$35</f>
        <v/>
      </c>
      <c r="J13" s="64">
        <f>-(J7-I7)*'03 Assumptions'!$B$35</f>
        <v/>
      </c>
      <c r="K13" s="64">
        <f>-(K7-J7)*'03 Assumptions'!$B$35</f>
        <v/>
      </c>
    </row>
    <row r="15">
      <c r="A15" s="8" t="inlineStr">
        <is>
          <t>RD % of revenue</t>
        </is>
      </c>
      <c r="F15" s="58">
        <f>F5/F7</f>
        <v/>
      </c>
      <c r="G15" s="58">
        <f>G5/G7</f>
        <v/>
      </c>
      <c r="H15" s="58">
        <f>H5/H7</f>
        <v/>
      </c>
      <c r="I15" s="58">
        <f>I5/I7</f>
        <v/>
      </c>
      <c r="J15" s="58">
        <f>J5/J7</f>
        <v/>
      </c>
      <c r="K15" s="58">
        <f>K5/K7</f>
        <v/>
      </c>
    </row>
    <row r="16">
      <c r="A16" s="8" t="inlineStr">
        <is>
          <t>EBITDA growth</t>
        </is>
      </c>
      <c r="G16" s="58">
        <f>G8/F8-1</f>
        <v/>
      </c>
      <c r="H16" s="58">
        <f>H8/G8-1</f>
        <v/>
      </c>
      <c r="I16" s="58">
        <f>I8/H8-1</f>
        <v/>
      </c>
      <c r="J16" s="58">
        <f>J8/I8-1</f>
        <v/>
      </c>
      <c r="K16" s="58">
        <f>K8/J8-1</f>
        <v/>
      </c>
    </row>
    <row r="17">
      <c r="A17" s="8" t="inlineStr">
        <is>
          <t>Acquired EBITDA from BD (cumulative; spend/9.0x, contributes from year after spend)</t>
        </is>
      </c>
      <c r="F17" s="64" t="n">
        <v>0</v>
      </c>
      <c r="G17" s="64" t="n">
        <v>0</v>
      </c>
      <c r="H17" s="64">
        <f>G17+'03 Assumptions'!$F$13/'03 Assumptions'!$B$43</f>
        <v/>
      </c>
      <c r="I17" s="64">
        <f>H17+'03 Assumptions'!$F$13/'03 Assumptions'!$B$43</f>
        <v/>
      </c>
      <c r="J17" s="64">
        <f>I17+'03 Assumptions'!$F$13/'03 Assumptions'!$B$43</f>
        <v/>
      </c>
      <c r="K17" s="64">
        <f>J17+'03 Assumptions'!$F$13/'03 Assumptions'!$B$43</f>
        <v/>
      </c>
    </row>
    <row r="18">
      <c r="A18" s="3" t="inlineStr">
        <is>
          <t>TOTAL EBITDA (organic + acquired)</t>
        </is>
      </c>
      <c r="F18" s="64">
        <f>F8+F17</f>
        <v/>
      </c>
      <c r="G18" s="64">
        <f>G8+G17</f>
        <v/>
      </c>
      <c r="H18" s="64">
        <f>H8+H17</f>
        <v/>
      </c>
      <c r="I18" s="64">
        <f>I8+I17</f>
        <v/>
      </c>
      <c r="J18" s="64">
        <f>J8+J17</f>
        <v/>
      </c>
      <c r="K18" s="64">
        <f>K8+K17</f>
        <v/>
      </c>
    </row>
    <row r="20">
      <c r="A20" s="23">
        <f>IF(AND(F8&gt;995,F8&lt;1031),"CHECK OK: 2026E EBITDA within guidance 995-1,030","CHECK: 2026E EBITDA outside guidance")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44"/>
  <sheetViews>
    <sheetView showGridLines="0" workbookViewId="0">
      <selection activeCell="A1" sqref="A1"/>
    </sheetView>
  </sheetViews>
  <sheetFormatPr baseColWidth="8" defaultColWidth="9" defaultRowHeight="16.8"/>
  <cols>
    <col width="46" customWidth="1" min="1" max="1"/>
    <col width="12" customWidth="1" min="2" max="15"/>
  </cols>
  <sheetData>
    <row r="1" ht="17.6" customHeight="1">
      <c r="A1" s="1" t="inlineStr">
        <is>
          <t>DEBT SCHEDULE — mandatory amort + 100% cash sweep (TLB-EUR → TLB-USD; SSN bullet)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3" t="inlineStr">
        <is>
          <t>€m</t>
        </is>
      </c>
      <c r="G3" s="3" t="inlineStr">
        <is>
          <t>2027</t>
        </is>
      </c>
      <c r="H3" s="3" t="inlineStr">
        <is>
          <t>2028</t>
        </is>
      </c>
      <c r="I3" s="3" t="inlineStr">
        <is>
          <t>2029</t>
        </is>
      </c>
      <c r="J3" s="3" t="inlineStr">
        <is>
          <t>2030</t>
        </is>
      </c>
      <c r="K3" s="3" t="inlineStr">
        <is>
          <t>2031</t>
        </is>
      </c>
    </row>
    <row r="5">
      <c r="A5" s="8" t="inlineStr">
        <is>
          <t>TLB-EUR beginning</t>
        </is>
      </c>
      <c r="G5" s="43">
        <f>'06 Sources &amp; Uses'!B14</f>
        <v/>
      </c>
      <c r="H5" s="64">
        <f>G8</f>
        <v/>
      </c>
      <c r="I5" s="64">
        <f>H8</f>
        <v/>
      </c>
      <c r="J5" s="64">
        <f>I8</f>
        <v/>
      </c>
      <c r="K5" s="64">
        <f>J8</f>
        <v/>
      </c>
    </row>
    <row r="6">
      <c r="A6" s="8" t="inlineStr">
        <is>
          <t xml:space="preserve">  mandatory amort</t>
        </is>
      </c>
      <c r="G6" s="64">
        <f>-MIN(G5,('06 Sources &amp; Uses'!$B$14)*'03 Assumptions'!$B$38)</f>
        <v/>
      </c>
      <c r="H6" s="64">
        <f>-MIN(H5,('06 Sources &amp; Uses'!$B$14)*'03 Assumptions'!$B$38)</f>
        <v/>
      </c>
      <c r="I6" s="64">
        <f>-MIN(I5,('06 Sources &amp; Uses'!$B$14)*'03 Assumptions'!$B$38)</f>
        <v/>
      </c>
      <c r="J6" s="64">
        <f>-MIN(J5,('06 Sources &amp; Uses'!$B$14)*'03 Assumptions'!$B$38)</f>
        <v/>
      </c>
      <c r="K6" s="64">
        <f>-MIN(K5,('06 Sources &amp; Uses'!$B$14)*'03 Assumptions'!$B$38)</f>
        <v/>
      </c>
    </row>
    <row r="7">
      <c r="A7" s="8" t="inlineStr">
        <is>
          <t xml:space="preserve">  cash sweep</t>
        </is>
      </c>
      <c r="G7" s="64">
        <f>-MIN(G5+G6,G34)</f>
        <v/>
      </c>
      <c r="H7" s="64">
        <f>-MIN(H5+H6,H34)</f>
        <v/>
      </c>
      <c r="I7" s="64">
        <f>-MIN(I5+I6,I34)</f>
        <v/>
      </c>
      <c r="J7" s="64">
        <f>-MIN(J5+J6,J34)</f>
        <v/>
      </c>
      <c r="K7" s="64">
        <f>-MIN(K5+K6,K34)</f>
        <v/>
      </c>
    </row>
    <row r="8">
      <c r="A8" s="8" t="inlineStr">
        <is>
          <t>TLB-EUR ending</t>
        </is>
      </c>
      <c r="G8" s="64">
        <f>G5+G6+G7</f>
        <v/>
      </c>
      <c r="H8" s="64">
        <f>H5+H6+H7</f>
        <v/>
      </c>
      <c r="I8" s="64">
        <f>I5+I6+I7</f>
        <v/>
      </c>
      <c r="J8" s="64">
        <f>J5+J6+J7</f>
        <v/>
      </c>
      <c r="K8" s="64">
        <f>K5+K6+K7</f>
        <v/>
      </c>
    </row>
    <row r="10">
      <c r="A10" s="8" t="inlineStr">
        <is>
          <t>TLB-USD beginning</t>
        </is>
      </c>
      <c r="G10" s="43">
        <f>'06 Sources &amp; Uses'!B15</f>
        <v/>
      </c>
      <c r="H10" s="64">
        <f>G13</f>
        <v/>
      </c>
      <c r="I10" s="64">
        <f>H13</f>
        <v/>
      </c>
      <c r="J10" s="64">
        <f>I13</f>
        <v/>
      </c>
      <c r="K10" s="64">
        <f>J13</f>
        <v/>
      </c>
    </row>
    <row r="11">
      <c r="A11" s="8" t="inlineStr">
        <is>
          <t xml:space="preserve">  mandatory amort</t>
        </is>
      </c>
      <c r="G11" s="64">
        <f>-MIN(G10,('06 Sources &amp; Uses'!$B$15)*'03 Assumptions'!$B$38)</f>
        <v/>
      </c>
      <c r="H11" s="64">
        <f>-MIN(H10,('06 Sources &amp; Uses'!$B$15)*'03 Assumptions'!$B$38)</f>
        <v/>
      </c>
      <c r="I11" s="64">
        <f>-MIN(I10,('06 Sources &amp; Uses'!$B$15)*'03 Assumptions'!$B$38)</f>
        <v/>
      </c>
      <c r="J11" s="64">
        <f>-MIN(J10,('06 Sources &amp; Uses'!$B$15)*'03 Assumptions'!$B$38)</f>
        <v/>
      </c>
      <c r="K11" s="64">
        <f>-MIN(K10,('06 Sources &amp; Uses'!$B$15)*'03 Assumptions'!$B$38)</f>
        <v/>
      </c>
    </row>
    <row r="12">
      <c r="A12" s="8" t="inlineStr">
        <is>
          <t xml:space="preserve">  cash sweep (after EUR repaid)</t>
        </is>
      </c>
      <c r="G12" s="64">
        <f>-MIN(G10+G11,G34+G7)</f>
        <v/>
      </c>
      <c r="H12" s="64">
        <f>-MIN(H10+H11,H34+H7)</f>
        <v/>
      </c>
      <c r="I12" s="64">
        <f>-MIN(I10+I11,I34+I7)</f>
        <v/>
      </c>
      <c r="J12" s="64">
        <f>-MIN(J10+J11,J34+J7)</f>
        <v/>
      </c>
      <c r="K12" s="64">
        <f>-MIN(K10+K11,K34+K7)</f>
        <v/>
      </c>
    </row>
    <row r="13">
      <c r="A13" s="8" t="inlineStr">
        <is>
          <t>TLB-USD ending</t>
        </is>
      </c>
      <c r="G13" s="64">
        <f>G10+G11+G12</f>
        <v/>
      </c>
      <c r="H13" s="64">
        <f>H10+H11+H12</f>
        <v/>
      </c>
      <c r="I13" s="64">
        <f>I10+I11+I12</f>
        <v/>
      </c>
      <c r="J13" s="64">
        <f>J10+J11+J12</f>
        <v/>
      </c>
      <c r="K13" s="64">
        <f>K10+K11+K12</f>
        <v/>
      </c>
    </row>
    <row r="15">
      <c r="A15" s="8" t="inlineStr">
        <is>
          <t>SSN (bullet)</t>
        </is>
      </c>
      <c r="G15" s="43">
        <f>'06 Sources &amp; Uses'!B16</f>
        <v/>
      </c>
      <c r="H15" s="43">
        <f>'06 Sources &amp; Uses'!B16</f>
        <v/>
      </c>
      <c r="I15" s="43">
        <f>'06 Sources &amp; Uses'!B16</f>
        <v/>
      </c>
      <c r="J15" s="43">
        <f>'06 Sources &amp; Uses'!B16</f>
        <v/>
      </c>
      <c r="K15" s="43">
        <f>'06 Sources &amp; Uses'!B16</f>
        <v/>
      </c>
    </row>
    <row r="17">
      <c r="A17" s="3" t="inlineStr">
        <is>
          <t>Total debt ending</t>
        </is>
      </c>
      <c r="G17" s="64">
        <f>G8+G13+G15</f>
        <v/>
      </c>
      <c r="H17" s="64">
        <f>H8+H13+H15</f>
        <v/>
      </c>
      <c r="I17" s="64">
        <f>I8+I13+I15</f>
        <v/>
      </c>
      <c r="J17" s="64">
        <f>J8+J13+J15</f>
        <v/>
      </c>
      <c r="K17" s="64">
        <f>K8+K13+K15</f>
        <v/>
      </c>
    </row>
    <row r="18">
      <c r="A18" s="8" t="inlineStr">
        <is>
          <t>Excess cash (accumulates once TLBs repaid)</t>
        </is>
      </c>
      <c r="G18" s="64">
        <f>MAX(0,G34+G7+G12)</f>
        <v/>
      </c>
      <c r="H18" s="64">
        <f>MAX(0,H34+H7+H12)+G18</f>
        <v/>
      </c>
      <c r="I18" s="64">
        <f>MAX(0,I34+I7+I12)+H18</f>
        <v/>
      </c>
      <c r="J18" s="64">
        <f>MAX(0,J34+J7+J12)+I18</f>
        <v/>
      </c>
      <c r="K18" s="64">
        <f>MAX(0,K34+K7+K12)+J18</f>
        <v/>
      </c>
    </row>
    <row r="19">
      <c r="A19" s="3" t="inlineStr">
        <is>
          <t>NET DEBT ending</t>
        </is>
      </c>
      <c r="G19" s="64">
        <f>G17-G18-'03 Assumptions'!$B$44</f>
        <v/>
      </c>
      <c r="H19" s="64">
        <f>H17-H18-'03 Assumptions'!$B$44</f>
        <v/>
      </c>
      <c r="I19" s="64">
        <f>I17-I18-'03 Assumptions'!$B$44</f>
        <v/>
      </c>
      <c r="J19" s="64">
        <f>J17-J18-'03 Assumptions'!$B$44</f>
        <v/>
      </c>
      <c r="K19" s="64">
        <f>K17-K18-'03 Assumptions'!$B$44</f>
        <v/>
      </c>
    </row>
    <row r="21">
      <c r="A21" s="8" t="inlineStr">
        <is>
          <t>Interest: TLB-EUR (E+375 on beginning)</t>
        </is>
      </c>
      <c r="G21" s="64">
        <f>-G5*('03 Assumptions'!$B$26+'03 Assumptions'!$B$27)</f>
        <v/>
      </c>
      <c r="H21" s="64">
        <f>-H5*('03 Assumptions'!$B$26+'03 Assumptions'!$B$27)</f>
        <v/>
      </c>
      <c r="I21" s="64">
        <f>-I5*('03 Assumptions'!$B$26+'03 Assumptions'!$B$27)</f>
        <v/>
      </c>
      <c r="J21" s="64">
        <f>-J5*('03 Assumptions'!$B$26+'03 Assumptions'!$B$27)</f>
        <v/>
      </c>
      <c r="K21" s="64">
        <f>-K5*('03 Assumptions'!$B$26+'03 Assumptions'!$B$27)</f>
        <v/>
      </c>
    </row>
    <row r="22">
      <c r="A22" s="8" t="inlineStr">
        <is>
          <t>Interest: TLB-USD</t>
        </is>
      </c>
      <c r="G22" s="64">
        <f>-G10*'03 Assumptions'!$B$28</f>
        <v/>
      </c>
      <c r="H22" s="64">
        <f>-H10*'03 Assumptions'!$B$28</f>
        <v/>
      </c>
      <c r="I22" s="64">
        <f>-I10*'03 Assumptions'!$B$28</f>
        <v/>
      </c>
      <c r="J22" s="64">
        <f>-J10*'03 Assumptions'!$B$28</f>
        <v/>
      </c>
      <c r="K22" s="64">
        <f>-K10*'03 Assumptions'!$B$28</f>
        <v/>
      </c>
    </row>
    <row r="23">
      <c r="A23" s="8" t="inlineStr">
        <is>
          <t>Interest: SSN</t>
        </is>
      </c>
      <c r="G23" s="64">
        <f>-G15*'03 Assumptions'!$B$29</f>
        <v/>
      </c>
      <c r="H23" s="64">
        <f>-H15*'03 Assumptions'!$B$29</f>
        <v/>
      </c>
      <c r="I23" s="64">
        <f>-I15*'03 Assumptions'!$B$29</f>
        <v/>
      </c>
      <c r="J23" s="64">
        <f>-J15*'03 Assumptions'!$B$29</f>
        <v/>
      </c>
      <c r="K23" s="64">
        <f>-K15*'03 Assumptions'!$B$29</f>
        <v/>
      </c>
    </row>
    <row r="24">
      <c r="A24" s="8" t="inlineStr">
        <is>
          <t>RCF commitment fee</t>
        </is>
      </c>
      <c r="G24" s="64">
        <f>-'03 Assumptions'!$B$30*'03 Assumptions'!$B$31</f>
        <v/>
      </c>
      <c r="H24" s="64">
        <f>-'03 Assumptions'!$B$30*'03 Assumptions'!$B$31</f>
        <v/>
      </c>
      <c r="I24" s="64">
        <f>-'03 Assumptions'!$B$30*'03 Assumptions'!$B$31</f>
        <v/>
      </c>
      <c r="J24" s="64">
        <f>-'03 Assumptions'!$B$30*'03 Assumptions'!$B$31</f>
        <v/>
      </c>
      <c r="K24" s="64">
        <f>-'03 Assumptions'!$B$30*'03 Assumptions'!$B$31</f>
        <v/>
      </c>
    </row>
    <row r="25">
      <c r="A25" s="3" t="inlineStr">
        <is>
          <t>Total cash interest</t>
        </is>
      </c>
      <c r="G25" s="64">
        <f>SUM(G21:G24)</f>
        <v/>
      </c>
      <c r="H25" s="64">
        <f>SUM(H21:H24)</f>
        <v/>
      </c>
      <c r="I25" s="64">
        <f>SUM(I21:I24)</f>
        <v/>
      </c>
      <c r="J25" s="64">
        <f>SUM(J21:J24)</f>
        <v/>
      </c>
      <c r="K25" s="64">
        <f>SUM(K21:K24)</f>
        <v/>
      </c>
    </row>
    <row r="26">
      <c r="A26" s="8" t="inlineStr">
        <is>
          <t>(-) BD / in-licensing spend (funded pre-sweep)</t>
        </is>
      </c>
      <c r="G26" s="43">
        <f>-'03 Assumptions'!$F$13</f>
        <v/>
      </c>
      <c r="H26" s="43">
        <f>-'03 Assumptions'!$F$13</f>
        <v/>
      </c>
      <c r="I26" s="43">
        <f>-'03 Assumptions'!$F$13</f>
        <v/>
      </c>
      <c r="J26" s="43">
        <f>-'03 Assumptions'!$F$13</f>
        <v/>
      </c>
      <c r="K26" s="43" t="n">
        <v>0</v>
      </c>
    </row>
    <row r="27">
      <c r="A27" s="8" t="inlineStr">
        <is>
          <t>EBITDA</t>
        </is>
      </c>
      <c r="G27" s="43">
        <f>'09 Operating Model'!G18</f>
        <v/>
      </c>
      <c r="H27" s="43">
        <f>'09 Operating Model'!H18</f>
        <v/>
      </c>
      <c r="I27" s="43">
        <f>'09 Operating Model'!I18</f>
        <v/>
      </c>
      <c r="J27" s="43">
        <f>'09 Operating Model'!J18</f>
        <v/>
      </c>
      <c r="K27" s="43">
        <f>'09 Operating Model'!K18</f>
        <v/>
      </c>
    </row>
    <row r="28">
      <c r="A28" s="8" t="inlineStr">
        <is>
          <t>(-) Maintenance capex</t>
        </is>
      </c>
      <c r="G28" s="43">
        <f>'09 Operating Model'!G12</f>
        <v/>
      </c>
      <c r="H28" s="43">
        <f>'09 Operating Model'!H12</f>
        <v/>
      </c>
      <c r="I28" s="43">
        <f>'09 Operating Model'!I12</f>
        <v/>
      </c>
      <c r="J28" s="43">
        <f>'09 Operating Model'!J12</f>
        <v/>
      </c>
      <c r="K28" s="43">
        <f>'09 Operating Model'!K12</f>
        <v/>
      </c>
    </row>
    <row r="29">
      <c r="A29" s="8" t="inlineStr">
        <is>
          <t>(-) Change in NWC</t>
        </is>
      </c>
      <c r="G29" s="43">
        <f>'09 Operating Model'!G13</f>
        <v/>
      </c>
      <c r="H29" s="43">
        <f>'09 Operating Model'!H13</f>
        <v/>
      </c>
      <c r="I29" s="43">
        <f>'09 Operating Model'!I13</f>
        <v/>
      </c>
      <c r="J29" s="43">
        <f>'09 Operating Model'!J13</f>
        <v/>
      </c>
      <c r="K29" s="43">
        <f>'09 Operating Model'!K13</f>
        <v/>
      </c>
    </row>
    <row r="30">
      <c r="A30" s="8" t="inlineStr">
        <is>
          <t>(-) Cash taxes (24% of max(0, EBITDA - D&amp;A - interest))</t>
        </is>
      </c>
      <c r="G30" s="64">
        <f>-'03 Assumptions'!$B$34*MAX(0,G27+'09 Operating Model'!G10-MIN(-G25,'03 Assumptions'!$B$45*G27))</f>
        <v/>
      </c>
      <c r="H30" s="64">
        <f>-'03 Assumptions'!$B$34*MAX(0,H27+'09 Operating Model'!H10-MIN(-H25,'03 Assumptions'!$B$45*H27))</f>
        <v/>
      </c>
      <c r="I30" s="64">
        <f>-'03 Assumptions'!$B$34*MAX(0,I27+'09 Operating Model'!I10-MIN(-I25,'03 Assumptions'!$B$45*I27))</f>
        <v/>
      </c>
      <c r="J30" s="64">
        <f>-'03 Assumptions'!$B$34*MAX(0,J27+'09 Operating Model'!J10-MIN(-J25,'03 Assumptions'!$B$45*J27))</f>
        <v/>
      </c>
      <c r="K30" s="64">
        <f>-'03 Assumptions'!$B$34*MAX(0,K27+'09 Operating Model'!K10-MIN(-K25,'03 Assumptions'!$B$45*K27))</f>
        <v/>
      </c>
    </row>
    <row r="31">
      <c r="A31" s="8" t="inlineStr">
        <is>
          <t>(-) Cash interest &amp; fees</t>
        </is>
      </c>
      <c r="G31" s="64">
        <f>G25</f>
        <v/>
      </c>
      <c r="H31" s="64">
        <f>H25</f>
        <v/>
      </c>
      <c r="I31" s="64">
        <f>I25</f>
        <v/>
      </c>
      <c r="J31" s="64">
        <f>J25</f>
        <v/>
      </c>
      <c r="K31" s="64">
        <f>K25</f>
        <v/>
      </c>
    </row>
    <row r="32">
      <c r="A32" s="3" t="inlineStr">
        <is>
          <t>FCF before debt service</t>
        </is>
      </c>
      <c r="G32" s="64">
        <f>G27+G28+G29+G30+G31+G26</f>
        <v/>
      </c>
      <c r="H32" s="64">
        <f>H27+H28+H29+H30+H31+H26</f>
        <v/>
      </c>
      <c r="I32" s="64">
        <f>I27+I28+I29+I30+I31+I26</f>
        <v/>
      </c>
      <c r="J32" s="64">
        <f>J27+J28+J29+J30+J31+J26</f>
        <v/>
      </c>
      <c r="K32" s="64">
        <f>K27+K28+K29+K30+K31+K26</f>
        <v/>
      </c>
    </row>
    <row r="33">
      <c r="A33" s="8" t="inlineStr">
        <is>
          <t>(-) Mandatory amortisation</t>
        </is>
      </c>
      <c r="G33" s="64">
        <f>G6+G11</f>
        <v/>
      </c>
      <c r="H33" s="64">
        <f>H6+H11</f>
        <v/>
      </c>
      <c r="I33" s="64">
        <f>I6+I11</f>
        <v/>
      </c>
      <c r="J33" s="64">
        <f>J6+J11</f>
        <v/>
      </c>
      <c r="K33" s="64">
        <f>K6+K11</f>
        <v/>
      </c>
    </row>
    <row r="34">
      <c r="A34" s="8" t="inlineStr">
        <is>
          <t>FCF available for sweep</t>
        </is>
      </c>
      <c r="G34" s="64">
        <f>MAX(0,G32+G33)*'03 Assumptions'!$F$12</f>
        <v/>
      </c>
      <c r="H34" s="64">
        <f>MAX(0,H32+H33)*'03 Assumptions'!$F$12</f>
        <v/>
      </c>
      <c r="I34" s="64">
        <f>MAX(0,I32+I33)*'03 Assumptions'!$F$12</f>
        <v/>
      </c>
      <c r="J34" s="64">
        <f>MAX(0,J32+J33)*'03 Assumptions'!$F$12</f>
        <v/>
      </c>
      <c r="K34" s="64">
        <f>MAX(0,K32+K33)*'03 Assumptions'!$F$12</f>
        <v/>
      </c>
    </row>
    <row r="36">
      <c r="A36" s="3" t="inlineStr">
        <is>
          <t>Leverage: net debt / EBITDA</t>
        </is>
      </c>
      <c r="G36" s="65">
        <f>G19/G27</f>
        <v/>
      </c>
      <c r="H36" s="65">
        <f>H19/H27</f>
        <v/>
      </c>
      <c r="I36" s="65">
        <f>I19/I27</f>
        <v/>
      </c>
      <c r="J36" s="65">
        <f>J19/J27</f>
        <v/>
      </c>
      <c r="K36" s="65">
        <f>K19/K27</f>
        <v/>
      </c>
    </row>
    <row r="37">
      <c r="A37" s="3" t="inlineStr">
        <is>
          <t>Interest coverage: EBITDA / cash interest</t>
        </is>
      </c>
      <c r="G37" s="65">
        <f>-G27/G25</f>
        <v/>
      </c>
      <c r="H37" s="65">
        <f>-H27/H25</f>
        <v/>
      </c>
      <c r="I37" s="65">
        <f>-I27/I25</f>
        <v/>
      </c>
      <c r="J37" s="65">
        <f>-J27/J25</f>
        <v/>
      </c>
      <c r="K37" s="65">
        <f>-K27/K25</f>
        <v/>
      </c>
    </row>
    <row r="38">
      <c r="A38" s="8" t="inlineStr">
        <is>
          <t>DSCR: (EBITDA-capex-tax)/(interest+amort)</t>
        </is>
      </c>
      <c r="G38" s="65">
        <f>(G27+G28+G30)/-(G25-G33+0.0001)</f>
        <v/>
      </c>
      <c r="H38" s="65">
        <f>(H27+H28+H30)/-(H25-H33+0.0001)</f>
        <v/>
      </c>
      <c r="I38" s="65">
        <f>(I27+I28+I30)/-(I25-I33+0.0001)</f>
        <v/>
      </c>
      <c r="J38" s="65">
        <f>(J27+J28+J30)/-(J25-J33+0.0001)</f>
        <v/>
      </c>
      <c r="K38" s="65">
        <f>(K27+K28+K30)/-(K25-K33+0.0001)</f>
        <v/>
      </c>
    </row>
    <row r="40">
      <c r="A40" s="23">
        <f>IF(G37&gt;2.5,"CHECK OK: year-1 interest coverage &gt; 2.5x","CHECK: coverage tight — review leverage")</f>
        <v/>
      </c>
    </row>
    <row r="42">
      <c r="A42" s="8" t="inlineStr">
        <is>
          <t>Sweep order: TLB-EUR first, then TLB-USD; SSN bullet. Net debt nets EUR 250m minimum cash + swept excess.</t>
        </is>
      </c>
    </row>
    <row r="43">
      <c r="A43" s="8" t="inlineStr">
        <is>
          <t>v2: BD spend deducted pre-sweep; taxes apply ATAD 30%-of-EBITDA interest deductibility cap (carryforward ignored - conservative).</t>
        </is>
      </c>
    </row>
    <row r="44">
      <c r="A44" t="inlineStr">
        <is>
          <t>v3: 2031 (exit-year) BD spend set to EUR 0 — it buys EBITDA only in 2032 (post-exit). Cum. BD 2027-2030 = EUR 1.6bn.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selection activeCell="A1" sqref="A1"/>
    </sheetView>
  </sheetViews>
  <sheetFormatPr baseColWidth="8" defaultColWidth="9" defaultRowHeight="16.8"/>
  <cols>
    <col width="46" customWidth="1" min="1" max="1"/>
    <col width="12" customWidth="1" min="2" max="15"/>
  </cols>
  <sheetData>
    <row r="1" ht="17.6" customHeight="1">
      <c r="A1" s="1" t="inlineStr">
        <is>
          <t>RETURNS — IRR / MOIC + BRIDGES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4" t="inlineStr">
        <is>
          <t>Entry equity (from S&amp;U)</t>
        </is>
      </c>
      <c r="B3" s="60">
        <f>'06 Sources &amp; Uses'!B18</f>
        <v/>
      </c>
    </row>
    <row r="4">
      <c r="A4" s="4" t="inlineStr">
        <is>
          <t>Exit year EBITDA (2031, incl. BD)</t>
        </is>
      </c>
      <c r="B4" s="60">
        <f>'09 Operating Model'!K18</f>
        <v/>
      </c>
    </row>
    <row r="5">
      <c r="A5" s="4" t="inlineStr">
        <is>
          <t>Exit multiple (scenario)</t>
        </is>
      </c>
      <c r="B5" s="45">
        <f>'03 Assumptions'!F11</f>
        <v/>
      </c>
    </row>
    <row r="6">
      <c r="A6" s="4" t="inlineStr">
        <is>
          <t>Exit enterprise value</t>
        </is>
      </c>
      <c r="B6" s="59">
        <f>B4*B5</f>
        <v/>
      </c>
    </row>
    <row r="7">
      <c r="A7" s="4" t="inlineStr">
        <is>
          <t>(-) Net debt at exit</t>
        </is>
      </c>
      <c r="B7" s="60">
        <f>'08 Debt Schedule'!K19</f>
        <v/>
      </c>
    </row>
    <row r="8">
      <c r="A8" s="4" t="inlineStr">
        <is>
          <t>Exit equity value</t>
        </is>
      </c>
      <c r="B8" s="59">
        <f>B6-B7</f>
        <v/>
      </c>
    </row>
    <row r="9">
      <c r="A9" s="4" t="inlineStr">
        <is>
          <t>MOIC</t>
        </is>
      </c>
      <c r="B9" s="51">
        <f>B8/B3</f>
        <v/>
      </c>
    </row>
    <row r="10">
      <c r="A10" s="4" t="inlineStr">
        <is>
          <t>Hold (years)</t>
        </is>
      </c>
      <c r="B10" s="66">
        <f>'03 Assumptions'!B42</f>
        <v/>
      </c>
    </row>
    <row r="11">
      <c r="A11" s="4" t="inlineStr">
        <is>
          <t>IRR (single exit flow)</t>
        </is>
      </c>
      <c r="B11" s="49">
        <f>B9^(1/B10)-1</f>
        <v/>
      </c>
    </row>
    <row r="14">
      <c r="A14" s="3" t="inlineStr">
        <is>
          <t>MOIC BRIDGE (multiples of entry equity)</t>
        </is>
      </c>
    </row>
    <row r="15">
      <c r="A15" s="8" t="inlineStr">
        <is>
          <t>Entry equity (1.00x)</t>
        </is>
      </c>
      <c r="B15" s="65" t="n">
        <v>1</v>
      </c>
    </row>
    <row r="16">
      <c r="A16" s="8" t="inlineStr">
        <is>
          <t>(+) EBITDA growth at entry multiple</t>
        </is>
      </c>
      <c r="B16" s="65">
        <f>(B4-'03 Assumptions'!B16)*'07 Purchase Price'!B8/B3</f>
        <v/>
      </c>
    </row>
    <row r="17">
      <c r="A17" s="8" t="inlineStr">
        <is>
          <t>(+) Multiple expansion/(compression)</t>
        </is>
      </c>
      <c r="B17" s="65">
        <f>(B5-'07 Purchase Price'!B8)*B4/B3</f>
        <v/>
      </c>
    </row>
    <row r="18">
      <c r="A18" s="8" t="inlineStr">
        <is>
          <t>(+) Deleveraging (net debt entry - exit)</t>
        </is>
      </c>
      <c r="B18" s="65">
        <f>('06 Sources &amp; Uses'!B13-'03 Assumptions'!B44-'08 Debt Schedule'!K19)/B3</f>
        <v/>
      </c>
    </row>
    <row r="19">
      <c r="A19" s="8" t="inlineStr">
        <is>
          <t>(-) Fees &amp; frictions (residual)</t>
        </is>
      </c>
      <c r="B19" s="65">
        <f>B9-B15-B16-B17-B18</f>
        <v/>
      </c>
    </row>
    <row r="20">
      <c r="A20" s="3" t="inlineStr">
        <is>
          <t>MOIC (check)</t>
        </is>
      </c>
      <c r="B20" s="65">
        <f>SUM(B15:B19)</f>
        <v/>
      </c>
    </row>
    <row r="21">
      <c r="A21" s="23">
        <f>IF(ABS(B20-B9)&lt;0.01,"CHECK OK: bridge ties to MOIC","ERROR: bridge broken")</f>
        <v/>
      </c>
    </row>
    <row r="23">
      <c r="A23" s="3" t="inlineStr">
        <is>
          <t>IRR / MOIC BY EXIT YEAR (live)</t>
        </is>
      </c>
    </row>
    <row r="24">
      <c r="A24" s="8" t="inlineStr">
        <is>
          <t>Exit year</t>
        </is>
      </c>
      <c r="B24" s="8" t="inlineStr">
        <is>
          <t>2029</t>
        </is>
      </c>
      <c r="C24" s="8" t="inlineStr">
        <is>
          <t>2030</t>
        </is>
      </c>
      <c r="D24" s="8" t="inlineStr">
        <is>
          <t>2031</t>
        </is>
      </c>
    </row>
    <row r="25">
      <c r="A25" s="8" t="inlineStr">
        <is>
          <t>Exit equity (mult x EBITDA - net debt)</t>
        </is>
      </c>
      <c r="B25" s="64">
        <f>'03 Assumptions'!F11*'09 Operating Model'!I18-'08 Debt Schedule'!I19</f>
        <v/>
      </c>
      <c r="C25" s="64">
        <f>'03 Assumptions'!F11*'09 Operating Model'!J18-'08 Debt Schedule'!J19</f>
        <v/>
      </c>
      <c r="D25" s="64">
        <f>'03 Assumptions'!F11*'09 Operating Model'!K18-'08 Debt Schedule'!K19</f>
        <v/>
      </c>
    </row>
    <row r="26">
      <c r="A26" s="8" t="inlineStr">
        <is>
          <t>MOIC</t>
        </is>
      </c>
      <c r="B26" s="65">
        <f>B25/'06 Sources &amp; Uses'!B18</f>
        <v/>
      </c>
      <c r="C26" s="65">
        <f>C25/'06 Sources &amp; Uses'!B18</f>
        <v/>
      </c>
      <c r="D26" s="65">
        <f>D25/'06 Sources &amp; Uses'!B18</f>
        <v/>
      </c>
    </row>
    <row r="27">
      <c r="A27" s="8" t="inlineStr">
        <is>
          <t>IRR</t>
        </is>
      </c>
      <c r="B27" s="58">
        <f>(B25/'06 Sources &amp; Uses'!B18)^(1/3)-1</f>
        <v/>
      </c>
      <c r="C27" s="58">
        <f>(C25/'06 Sources &amp; Uses'!B18)^(1/4)-1</f>
        <v/>
      </c>
      <c r="D27" s="58">
        <f>(D25/'06 Sources &amp; Uses'!B18)^(1/5)-1</f>
        <v/>
      </c>
    </row>
    <row r="29">
      <c r="A29" s="8" t="inlineStr">
        <is>
          <t>No interim dividends/recaps modeled (conservative). Dividend recap optionality would raise IRR, not MOIC.</t>
        </is>
      </c>
    </row>
    <row r="31">
      <c r="A31" t="inlineStr">
        <is>
          <t>RECAP OPTIONALITY: Sponsor-consistent case includes a dividend recap to ~4.0x leverage when headroom allows (~Yr4/5), adding ~1.0pt IRR.</t>
        </is>
      </c>
    </row>
    <row r="32">
      <c r="A32" t="inlineStr">
        <is>
          <t>Modeled here as conservative 100% sweep to ~1.0x exit leverage. Extending the hold to 7 years requires modeling this recap AND interest income on excess cash first.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03"/>
  <sheetViews>
    <sheetView showGridLines="0" workbookViewId="0">
      <selection activeCell="A1" sqref="A1"/>
    </sheetView>
  </sheetViews>
  <sheetFormatPr baseColWidth="8" defaultColWidth="9" defaultRowHeight="16.8"/>
  <cols>
    <col width="46" customWidth="1" min="1" max="1"/>
    <col width="12" customWidth="1" min="2" max="15"/>
  </cols>
  <sheetData>
    <row r="1" ht="17.6" customHeight="1">
      <c r="A1" s="1" t="inlineStr">
        <is>
          <t>SENSITIVITIES - EXACT full-recursion engines (no approximations)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8" t="inlineStr">
        <is>
          <t>All grids run a complete 3-tranche debt recursion (interest, ATAD tax cap, BD spend, mandatory amort, sequential sweep,</t>
        </is>
      </c>
    </row>
    <row r="3">
      <c r="A3" s="8" t="inlineStr">
        <is>
          <t>excess cash) per case. Engine A scales operating items with EBITDA (axis definition); Engine B uses the live EBITDA path.</t>
        </is>
      </c>
    </row>
    <row r="5">
      <c r="A5" s="3" t="inlineStr">
        <is>
          <t>GRID 1 - Exit multiple (rows) x exit year (cols) - IRR, fully live</t>
        </is>
      </c>
    </row>
    <row r="6">
      <c r="C6" s="12" t="inlineStr">
        <is>
          <t>2029</t>
        </is>
      </c>
      <c r="D6" s="12" t="inlineStr">
        <is>
          <t>2030</t>
        </is>
      </c>
      <c r="E6" s="12" t="inlineStr">
        <is>
          <t>2031</t>
        </is>
      </c>
    </row>
    <row r="7">
      <c r="B7" s="57" t="n">
        <v>9</v>
      </c>
      <c r="C7" s="58">
        <f>(($B7*'09 Operating Model'!$I$18-'08 Debt Schedule'!$I$19)/'06 Sources &amp; Uses'!$B$18)^(1/3)-1</f>
        <v/>
      </c>
      <c r="D7" s="58">
        <f>(($B7*'09 Operating Model'!$J$18-'08 Debt Schedule'!$J$19)/'06 Sources &amp; Uses'!$B$18)^(1/4)-1</f>
        <v/>
      </c>
      <c r="E7" s="58">
        <f>(($B7*'09 Operating Model'!$K$18-'08 Debt Schedule'!$K$19)/'06 Sources &amp; Uses'!$B$18)^(1/5)-1</f>
        <v/>
      </c>
    </row>
    <row r="8">
      <c r="B8" s="57" t="n">
        <v>10</v>
      </c>
      <c r="C8" s="58">
        <f>(($B8*'09 Operating Model'!$I$18-'08 Debt Schedule'!$I$19)/'06 Sources &amp; Uses'!$B$18)^(1/3)-1</f>
        <v/>
      </c>
      <c r="D8" s="58">
        <f>(($B8*'09 Operating Model'!$J$18-'08 Debt Schedule'!$J$19)/'06 Sources &amp; Uses'!$B$18)^(1/4)-1</f>
        <v/>
      </c>
      <c r="E8" s="58">
        <f>(($B8*'09 Operating Model'!$K$18-'08 Debt Schedule'!$K$19)/'06 Sources &amp; Uses'!$B$18)^(1/5)-1</f>
        <v/>
      </c>
    </row>
    <row r="9">
      <c r="B9" s="57" t="n">
        <v>11</v>
      </c>
      <c r="C9" s="58">
        <f>(($B9*'09 Operating Model'!$I$18-'08 Debt Schedule'!$I$19)/'06 Sources &amp; Uses'!$B$18)^(1/3)-1</f>
        <v/>
      </c>
      <c r="D9" s="58">
        <f>(($B9*'09 Operating Model'!$J$18-'08 Debt Schedule'!$J$19)/'06 Sources &amp; Uses'!$B$18)^(1/4)-1</f>
        <v/>
      </c>
      <c r="E9" s="58">
        <f>(($B9*'09 Operating Model'!$K$18-'08 Debt Schedule'!$K$19)/'06 Sources &amp; Uses'!$B$18)^(1/5)-1</f>
        <v/>
      </c>
    </row>
    <row r="10">
      <c r="B10" s="57" t="n">
        <v>11.5</v>
      </c>
      <c r="C10" s="58">
        <f>(($B10*'09 Operating Model'!$I$18-'08 Debt Schedule'!$I$19)/'06 Sources &amp; Uses'!$B$18)^(1/3)-1</f>
        <v/>
      </c>
      <c r="D10" s="58">
        <f>(($B10*'09 Operating Model'!$J$18-'08 Debt Schedule'!$J$19)/'06 Sources &amp; Uses'!$B$18)^(1/4)-1</f>
        <v/>
      </c>
      <c r="E10" s="58">
        <f>(($B10*'09 Operating Model'!$K$18-'08 Debt Schedule'!$K$19)/'06 Sources &amp; Uses'!$B$18)^(1/5)-1</f>
        <v/>
      </c>
    </row>
    <row r="11">
      <c r="B11" s="57" t="n">
        <v>12</v>
      </c>
      <c r="C11" s="58">
        <f>(($B11*'09 Operating Model'!$I$18-'08 Debt Schedule'!$I$19)/'06 Sources &amp; Uses'!$B$18)^(1/3)-1</f>
        <v/>
      </c>
      <c r="D11" s="58">
        <f>(($B11*'09 Operating Model'!$J$18-'08 Debt Schedule'!$J$19)/'06 Sources &amp; Uses'!$B$18)^(1/4)-1</f>
        <v/>
      </c>
      <c r="E11" s="58">
        <f>(($B11*'09 Operating Model'!$K$18-'08 Debt Schedule'!$K$19)/'06 Sources &amp; Uses'!$B$18)^(1/5)-1</f>
        <v/>
      </c>
    </row>
    <row r="12">
      <c r="B12" s="57" t="n">
        <v>12.9</v>
      </c>
      <c r="C12" s="58">
        <f>(($B12*'09 Operating Model'!$I$18-'08 Debt Schedule'!$I$19)/'06 Sources &amp; Uses'!$B$18)^(1/3)-1</f>
        <v/>
      </c>
      <c r="D12" s="58">
        <f>(($B12*'09 Operating Model'!$J$18-'08 Debt Schedule'!$J$19)/'06 Sources &amp; Uses'!$B$18)^(1/4)-1</f>
        <v/>
      </c>
      <c r="E12" s="58">
        <f>(($B12*'09 Operating Model'!$K$18-'08 Debt Schedule'!$K$19)/'06 Sources &amp; Uses'!$B$18)^(1/5)-1</f>
        <v/>
      </c>
    </row>
    <row r="13">
      <c r="B13" s="57" t="n">
        <v>14</v>
      </c>
      <c r="C13" s="58">
        <f>(($B13*'09 Operating Model'!$I$18-'08 Debt Schedule'!$I$19)/'06 Sources &amp; Uses'!$B$18)^(1/3)-1</f>
        <v/>
      </c>
      <c r="D13" s="58">
        <f>(($B13*'09 Operating Model'!$J$18-'08 Debt Schedule'!$J$19)/'06 Sources &amp; Uses'!$B$18)^(1/4)-1</f>
        <v/>
      </c>
      <c r="E13" s="58">
        <f>(($B13*'09 Operating Model'!$K$18-'08 Debt Schedule'!$K$19)/'06 Sources &amp; Uses'!$B$18)^(1/5)-1</f>
        <v/>
      </c>
    </row>
    <row r="16">
      <c r="A16" s="3" t="inlineStr">
        <is>
          <t>ENGINE A - total-EBITDA CAGR cases (cols C-G). Full recursion below; results in GRID 2.</t>
        </is>
      </c>
    </row>
    <row r="17">
      <c r="A17" s="8" t="inlineStr">
        <is>
          <t>EBITDA CAGR 2026-31</t>
        </is>
      </c>
      <c r="C17" s="55" t="n">
        <v>0.02</v>
      </c>
      <c r="D17" s="55" t="n">
        <v>0.04</v>
      </c>
      <c r="E17" s="55" t="n">
        <v>0.06</v>
      </c>
      <c r="F17" s="55" t="n">
        <v>0.08</v>
      </c>
      <c r="G17" s="55" t="n">
        <v>0.1</v>
      </c>
    </row>
    <row r="21">
      <c r="A21" s="8" t="inlineStr">
        <is>
          <t>EBITDA year 2027</t>
        </is>
      </c>
      <c r="C21" s="64">
        <f>'09 Operating Model'!$F$18*(1+C$17)^1</f>
        <v/>
      </c>
      <c r="D21" s="64">
        <f>'09 Operating Model'!$F$18*(1+D$17)^1</f>
        <v/>
      </c>
      <c r="E21" s="64">
        <f>'09 Operating Model'!$F$18*(1+E$17)^1</f>
        <v/>
      </c>
      <c r="F21" s="64">
        <f>'09 Operating Model'!$F$18*(1+F$17)^1</f>
        <v/>
      </c>
      <c r="G21" s="64">
        <f>'09 Operating Model'!$F$18*(1+G$17)^1</f>
        <v/>
      </c>
    </row>
    <row r="22">
      <c r="A22" s="8" t="inlineStr">
        <is>
          <t>EBITDA year 2028</t>
        </is>
      </c>
      <c r="C22" s="64">
        <f>'09 Operating Model'!$F$18*(1+C$17)^2</f>
        <v/>
      </c>
      <c r="D22" s="64">
        <f>'09 Operating Model'!$F$18*(1+D$17)^2</f>
        <v/>
      </c>
      <c r="E22" s="64">
        <f>'09 Operating Model'!$F$18*(1+E$17)^2</f>
        <v/>
      </c>
      <c r="F22" s="64">
        <f>'09 Operating Model'!$F$18*(1+F$17)^2</f>
        <v/>
      </c>
      <c r="G22" s="64">
        <f>'09 Operating Model'!$F$18*(1+G$17)^2</f>
        <v/>
      </c>
    </row>
    <row r="23">
      <c r="A23" s="8" t="inlineStr">
        <is>
          <t>EBITDA year 2029</t>
        </is>
      </c>
      <c r="C23" s="64">
        <f>'09 Operating Model'!$F$18*(1+C$17)^3</f>
        <v/>
      </c>
      <c r="D23" s="64">
        <f>'09 Operating Model'!$F$18*(1+D$17)^3</f>
        <v/>
      </c>
      <c r="E23" s="64">
        <f>'09 Operating Model'!$F$18*(1+E$17)^3</f>
        <v/>
      </c>
      <c r="F23" s="64">
        <f>'09 Operating Model'!$F$18*(1+F$17)^3</f>
        <v/>
      </c>
      <c r="G23" s="64">
        <f>'09 Operating Model'!$F$18*(1+G$17)^3</f>
        <v/>
      </c>
    </row>
    <row r="24">
      <c r="A24" s="8" t="inlineStr">
        <is>
          <t>EBITDA year 2030</t>
        </is>
      </c>
      <c r="C24" s="64">
        <f>'09 Operating Model'!$F$18*(1+C$17)^4</f>
        <v/>
      </c>
      <c r="D24" s="64">
        <f>'09 Operating Model'!$F$18*(1+D$17)^4</f>
        <v/>
      </c>
      <c r="E24" s="64">
        <f>'09 Operating Model'!$F$18*(1+E$17)^4</f>
        <v/>
      </c>
      <c r="F24" s="64">
        <f>'09 Operating Model'!$F$18*(1+F$17)^4</f>
        <v/>
      </c>
      <c r="G24" s="64">
        <f>'09 Operating Model'!$F$18*(1+G$17)^4</f>
        <v/>
      </c>
    </row>
    <row r="25">
      <c r="A25" s="8" t="inlineStr">
        <is>
          <t>EBITDA year 2031</t>
        </is>
      </c>
      <c r="C25" s="64">
        <f>'09 Operating Model'!$F$18*(1+C$17)^5</f>
        <v/>
      </c>
      <c r="D25" s="64">
        <f>'09 Operating Model'!$F$18*(1+D$17)^5</f>
        <v/>
      </c>
      <c r="E25" s="64">
        <f>'09 Operating Model'!$F$18*(1+E$17)^5</f>
        <v/>
      </c>
      <c r="F25" s="64">
        <f>'09 Operating Model'!$F$18*(1+F$17)^5</f>
        <v/>
      </c>
      <c r="G25" s="64">
        <f>'09 Operating Model'!$F$18*(1+G$17)^5</f>
        <v/>
      </c>
    </row>
    <row r="28">
      <c r="A28" s="8" t="inlineStr">
        <is>
          <t>FCF pre-amort 2027</t>
        </is>
      </c>
      <c r="C28" s="64">
        <f>C21+(('08 Debt Schedule'!G28+'08 Debt Schedule'!G29)*C21/'09 Operating Model'!G18)+(-'03 Assumptions'!$B$34*MAX(0,C21+('09 Operating Model'!G10*C21/'09 Operating Model'!G18)-MIN((('03 Assumptions'!$B$26+'03 Assumptions'!$B$27)*'06 Sources &amp; Uses'!$B$14+'03 Assumptions'!$B$28*'06 Sources &amp; Uses'!$B$15+'03 Assumptions'!$B$29*'06 Sources &amp; Uses'!$B$16+'03 Assumptions'!$B$30*'03 Assumptions'!$B$31),'03 Assumptions'!$B$45*C21)))-(('03 Assumptions'!$B$26+'03 Assumptions'!$B$27)*'06 Sources &amp; Uses'!$B$14+'03 Assumptions'!$B$28*'06 Sources &amp; Uses'!$B$15+'03 Assumptions'!$B$29*'06 Sources &amp; Uses'!$B$16+'03 Assumptions'!$B$30*'03 Assumptions'!$B$31)-'03 Assumptions'!$F$13</f>
        <v/>
      </c>
      <c r="D28" s="64">
        <f>D21+(('08 Debt Schedule'!G28+'08 Debt Schedule'!G29)*D21/'09 Operating Model'!G18)+(-'03 Assumptions'!$B$34*MAX(0,D21+('09 Operating Model'!G10*D21/'09 Operating Model'!G18)-MIN((('03 Assumptions'!$B$26+'03 Assumptions'!$B$27)*'06 Sources &amp; Uses'!$B$14+'03 Assumptions'!$B$28*'06 Sources &amp; Uses'!$B$15+'03 Assumptions'!$B$29*'06 Sources &amp; Uses'!$B$16+'03 Assumptions'!$B$30*'03 Assumptions'!$B$31),'03 Assumptions'!$B$45*D21)))-(('03 Assumptions'!$B$26+'03 Assumptions'!$B$27)*'06 Sources &amp; Uses'!$B$14+'03 Assumptions'!$B$28*'06 Sources &amp; Uses'!$B$15+'03 Assumptions'!$B$29*'06 Sources &amp; Uses'!$B$16+'03 Assumptions'!$B$30*'03 Assumptions'!$B$31)-'03 Assumptions'!$F$13</f>
        <v/>
      </c>
      <c r="E28" s="64">
        <f>E21+(('08 Debt Schedule'!G28+'08 Debt Schedule'!G29)*E21/'09 Operating Model'!G18)+(-'03 Assumptions'!$B$34*MAX(0,E21+('09 Operating Model'!G10*E21/'09 Operating Model'!G18)-MIN((('03 Assumptions'!$B$26+'03 Assumptions'!$B$27)*'06 Sources &amp; Uses'!$B$14+'03 Assumptions'!$B$28*'06 Sources &amp; Uses'!$B$15+'03 Assumptions'!$B$29*'06 Sources &amp; Uses'!$B$16+'03 Assumptions'!$B$30*'03 Assumptions'!$B$31),'03 Assumptions'!$B$45*E21)))-(('03 Assumptions'!$B$26+'03 Assumptions'!$B$27)*'06 Sources &amp; Uses'!$B$14+'03 Assumptions'!$B$28*'06 Sources &amp; Uses'!$B$15+'03 Assumptions'!$B$29*'06 Sources &amp; Uses'!$B$16+'03 Assumptions'!$B$30*'03 Assumptions'!$B$31)-'03 Assumptions'!$F$13</f>
        <v/>
      </c>
      <c r="F28" s="64">
        <f>F21+(('08 Debt Schedule'!G28+'08 Debt Schedule'!G29)*F21/'09 Operating Model'!G18)+(-'03 Assumptions'!$B$34*MAX(0,F21+('09 Operating Model'!G10*F21/'09 Operating Model'!G18)-MIN((('03 Assumptions'!$B$26+'03 Assumptions'!$B$27)*'06 Sources &amp; Uses'!$B$14+'03 Assumptions'!$B$28*'06 Sources &amp; Uses'!$B$15+'03 Assumptions'!$B$29*'06 Sources &amp; Uses'!$B$16+'03 Assumptions'!$B$30*'03 Assumptions'!$B$31),'03 Assumptions'!$B$45*F21)))-(('03 Assumptions'!$B$26+'03 Assumptions'!$B$27)*'06 Sources &amp; Uses'!$B$14+'03 Assumptions'!$B$28*'06 Sources &amp; Uses'!$B$15+'03 Assumptions'!$B$29*'06 Sources &amp; Uses'!$B$16+'03 Assumptions'!$B$30*'03 Assumptions'!$B$31)-'03 Assumptions'!$F$13</f>
        <v/>
      </c>
      <c r="G28" s="64">
        <f>G21+(('08 Debt Schedule'!G28+'08 Debt Schedule'!G29)*G21/'09 Operating Model'!G18)+(-'03 Assumptions'!$B$34*MAX(0,G21+('09 Operating Model'!G10*G21/'09 Operating Model'!G18)-MIN((('03 Assumptions'!$B$26+'03 Assumptions'!$B$27)*'06 Sources &amp; Uses'!$B$14+'03 Assumptions'!$B$28*'06 Sources &amp; Uses'!$B$15+'03 Assumptions'!$B$29*'06 Sources &amp; Uses'!$B$16+'03 Assumptions'!$B$30*'03 Assumptions'!$B$31),'03 Assumptions'!$B$45*G21)))-(('03 Assumptions'!$B$26+'03 Assumptions'!$B$27)*'06 Sources &amp; Uses'!$B$14+'03 Assumptions'!$B$28*'06 Sources &amp; Uses'!$B$15+'03 Assumptions'!$B$29*'06 Sources &amp; Uses'!$B$16+'03 Assumptions'!$B$30*'03 Assumptions'!$B$31)-'03 Assumptions'!$F$13</f>
        <v/>
      </c>
    </row>
    <row r="29">
      <c r="A29" s="8" t="inlineStr">
        <is>
          <t>FCF pre-amort 2028</t>
        </is>
      </c>
      <c r="C29" s="64">
        <f>C22+(('08 Debt Schedule'!H28+'08 Debt Schedule'!H29)*C22/'09 Operating Model'!H18)+(-'03 Assumptions'!$B$34*MAX(0,C22+('09 Operating Model'!H10*C22/'09 Operating Model'!H18)-MIN((('03 Assumptions'!$B$26+'03 Assumptions'!$B$27)*C35+'03 Assumptions'!$B$28*C42+'03 Assumptions'!$B$29*'06 Sources &amp; Uses'!$B$16+'03 Assumptions'!$B$30*'03 Assumptions'!$B$31),'03 Assumptions'!$B$45*C22)))-(('03 Assumptions'!$B$26+'03 Assumptions'!$B$27)*C35+'03 Assumptions'!$B$28*C42+'03 Assumptions'!$B$29*'06 Sources &amp; Uses'!$B$16+'03 Assumptions'!$B$30*'03 Assumptions'!$B$31)-'03 Assumptions'!$F$13</f>
        <v/>
      </c>
      <c r="D29" s="64">
        <f>D22+(('08 Debt Schedule'!H28+'08 Debt Schedule'!H29)*D22/'09 Operating Model'!H18)+(-'03 Assumptions'!$B$34*MAX(0,D22+('09 Operating Model'!H10*D22/'09 Operating Model'!H18)-MIN((('03 Assumptions'!$B$26+'03 Assumptions'!$B$27)*D35+'03 Assumptions'!$B$28*D42+'03 Assumptions'!$B$29*'06 Sources &amp; Uses'!$B$16+'03 Assumptions'!$B$30*'03 Assumptions'!$B$31),'03 Assumptions'!$B$45*D22)))-(('03 Assumptions'!$B$26+'03 Assumptions'!$B$27)*D35+'03 Assumptions'!$B$28*D42+'03 Assumptions'!$B$29*'06 Sources &amp; Uses'!$B$16+'03 Assumptions'!$B$30*'03 Assumptions'!$B$31)-'03 Assumptions'!$F$13</f>
        <v/>
      </c>
      <c r="E29" s="64">
        <f>E22+(('08 Debt Schedule'!H28+'08 Debt Schedule'!H29)*E22/'09 Operating Model'!H18)+(-'03 Assumptions'!$B$34*MAX(0,E22+('09 Operating Model'!H10*E22/'09 Operating Model'!H18)-MIN((('03 Assumptions'!$B$26+'03 Assumptions'!$B$27)*E35+'03 Assumptions'!$B$28*E42+'03 Assumptions'!$B$29*'06 Sources &amp; Uses'!$B$16+'03 Assumptions'!$B$30*'03 Assumptions'!$B$31),'03 Assumptions'!$B$45*E22)))-(('03 Assumptions'!$B$26+'03 Assumptions'!$B$27)*E35+'03 Assumptions'!$B$28*E42+'03 Assumptions'!$B$29*'06 Sources &amp; Uses'!$B$16+'03 Assumptions'!$B$30*'03 Assumptions'!$B$31)-'03 Assumptions'!$F$13</f>
        <v/>
      </c>
      <c r="F29" s="64">
        <f>F22+(('08 Debt Schedule'!H28+'08 Debt Schedule'!H29)*F22/'09 Operating Model'!H18)+(-'03 Assumptions'!$B$34*MAX(0,F22+('09 Operating Model'!H10*F22/'09 Operating Model'!H18)-MIN((('03 Assumptions'!$B$26+'03 Assumptions'!$B$27)*F35+'03 Assumptions'!$B$28*F42+'03 Assumptions'!$B$29*'06 Sources &amp; Uses'!$B$16+'03 Assumptions'!$B$30*'03 Assumptions'!$B$31),'03 Assumptions'!$B$45*F22)))-(('03 Assumptions'!$B$26+'03 Assumptions'!$B$27)*F35+'03 Assumptions'!$B$28*F42+'03 Assumptions'!$B$29*'06 Sources &amp; Uses'!$B$16+'03 Assumptions'!$B$30*'03 Assumptions'!$B$31)-'03 Assumptions'!$F$13</f>
        <v/>
      </c>
      <c r="G29" s="64">
        <f>G22+(('08 Debt Schedule'!H28+'08 Debt Schedule'!H29)*G22/'09 Operating Model'!H18)+(-'03 Assumptions'!$B$34*MAX(0,G22+('09 Operating Model'!H10*G22/'09 Operating Model'!H18)-MIN((('03 Assumptions'!$B$26+'03 Assumptions'!$B$27)*G35+'03 Assumptions'!$B$28*G42+'03 Assumptions'!$B$29*'06 Sources &amp; Uses'!$B$16+'03 Assumptions'!$B$30*'03 Assumptions'!$B$31),'03 Assumptions'!$B$45*G22)))-(('03 Assumptions'!$B$26+'03 Assumptions'!$B$27)*G35+'03 Assumptions'!$B$28*G42+'03 Assumptions'!$B$29*'06 Sources &amp; Uses'!$B$16+'03 Assumptions'!$B$30*'03 Assumptions'!$B$31)-'03 Assumptions'!$F$13</f>
        <v/>
      </c>
    </row>
    <row r="30">
      <c r="A30" s="8" t="inlineStr">
        <is>
          <t>FCF pre-amort 2029</t>
        </is>
      </c>
      <c r="C30" s="64">
        <f>C23+(('08 Debt Schedule'!I28+'08 Debt Schedule'!I29)*C23/'09 Operating Model'!I18)+(-'03 Assumptions'!$B$34*MAX(0,C23+('09 Operating Model'!I10*C23/'09 Operating Model'!I18)-MIN((('03 Assumptions'!$B$26+'03 Assumptions'!$B$27)*C36+'03 Assumptions'!$B$28*C43+'03 Assumptions'!$B$29*'06 Sources &amp; Uses'!$B$16+'03 Assumptions'!$B$30*'03 Assumptions'!$B$31),'03 Assumptions'!$B$45*C23)))-(('03 Assumptions'!$B$26+'03 Assumptions'!$B$27)*C36+'03 Assumptions'!$B$28*C43+'03 Assumptions'!$B$29*'06 Sources &amp; Uses'!$B$16+'03 Assumptions'!$B$30*'03 Assumptions'!$B$31)-'03 Assumptions'!$F$13</f>
        <v/>
      </c>
      <c r="D30" s="64">
        <f>D23+(('08 Debt Schedule'!I28+'08 Debt Schedule'!I29)*D23/'09 Operating Model'!I18)+(-'03 Assumptions'!$B$34*MAX(0,D23+('09 Operating Model'!I10*D23/'09 Operating Model'!I18)-MIN((('03 Assumptions'!$B$26+'03 Assumptions'!$B$27)*D36+'03 Assumptions'!$B$28*D43+'03 Assumptions'!$B$29*'06 Sources &amp; Uses'!$B$16+'03 Assumptions'!$B$30*'03 Assumptions'!$B$31),'03 Assumptions'!$B$45*D23)))-(('03 Assumptions'!$B$26+'03 Assumptions'!$B$27)*D36+'03 Assumptions'!$B$28*D43+'03 Assumptions'!$B$29*'06 Sources &amp; Uses'!$B$16+'03 Assumptions'!$B$30*'03 Assumptions'!$B$31)-'03 Assumptions'!$F$13</f>
        <v/>
      </c>
      <c r="E30" s="64">
        <f>E23+(('08 Debt Schedule'!I28+'08 Debt Schedule'!I29)*E23/'09 Operating Model'!I18)+(-'03 Assumptions'!$B$34*MAX(0,E23+('09 Operating Model'!I10*E23/'09 Operating Model'!I18)-MIN((('03 Assumptions'!$B$26+'03 Assumptions'!$B$27)*E36+'03 Assumptions'!$B$28*E43+'03 Assumptions'!$B$29*'06 Sources &amp; Uses'!$B$16+'03 Assumptions'!$B$30*'03 Assumptions'!$B$31),'03 Assumptions'!$B$45*E23)))-(('03 Assumptions'!$B$26+'03 Assumptions'!$B$27)*E36+'03 Assumptions'!$B$28*E43+'03 Assumptions'!$B$29*'06 Sources &amp; Uses'!$B$16+'03 Assumptions'!$B$30*'03 Assumptions'!$B$31)-'03 Assumptions'!$F$13</f>
        <v/>
      </c>
      <c r="F30" s="64">
        <f>F23+(('08 Debt Schedule'!I28+'08 Debt Schedule'!I29)*F23/'09 Operating Model'!I18)+(-'03 Assumptions'!$B$34*MAX(0,F23+('09 Operating Model'!I10*F23/'09 Operating Model'!I18)-MIN((('03 Assumptions'!$B$26+'03 Assumptions'!$B$27)*F36+'03 Assumptions'!$B$28*F43+'03 Assumptions'!$B$29*'06 Sources &amp; Uses'!$B$16+'03 Assumptions'!$B$30*'03 Assumptions'!$B$31),'03 Assumptions'!$B$45*F23)))-(('03 Assumptions'!$B$26+'03 Assumptions'!$B$27)*F36+'03 Assumptions'!$B$28*F43+'03 Assumptions'!$B$29*'06 Sources &amp; Uses'!$B$16+'03 Assumptions'!$B$30*'03 Assumptions'!$B$31)-'03 Assumptions'!$F$13</f>
        <v/>
      </c>
      <c r="G30" s="64">
        <f>G23+(('08 Debt Schedule'!I28+'08 Debt Schedule'!I29)*G23/'09 Operating Model'!I18)+(-'03 Assumptions'!$B$34*MAX(0,G23+('09 Operating Model'!I10*G23/'09 Operating Model'!I18)-MIN((('03 Assumptions'!$B$26+'03 Assumptions'!$B$27)*G36+'03 Assumptions'!$B$28*G43+'03 Assumptions'!$B$29*'06 Sources &amp; Uses'!$B$16+'03 Assumptions'!$B$30*'03 Assumptions'!$B$31),'03 Assumptions'!$B$45*G23)))-(('03 Assumptions'!$B$26+'03 Assumptions'!$B$27)*G36+'03 Assumptions'!$B$28*G43+'03 Assumptions'!$B$29*'06 Sources &amp; Uses'!$B$16+'03 Assumptions'!$B$30*'03 Assumptions'!$B$31)-'03 Assumptions'!$F$13</f>
        <v/>
      </c>
    </row>
    <row r="31">
      <c r="A31" s="8" t="inlineStr">
        <is>
          <t>FCF pre-amort 2030</t>
        </is>
      </c>
      <c r="C31" s="64">
        <f>C24+(('08 Debt Schedule'!J28+'08 Debt Schedule'!J29)*C24/'09 Operating Model'!J18)+(-'03 Assumptions'!$B$34*MAX(0,C24+('09 Operating Model'!J10*C24/'09 Operating Model'!J18)-MIN((('03 Assumptions'!$B$26+'03 Assumptions'!$B$27)*C37+'03 Assumptions'!$B$28*C44+'03 Assumptions'!$B$29*'06 Sources &amp; Uses'!$B$16+'03 Assumptions'!$B$30*'03 Assumptions'!$B$31),'03 Assumptions'!$B$45*C24)))-(('03 Assumptions'!$B$26+'03 Assumptions'!$B$27)*C37+'03 Assumptions'!$B$28*C44+'03 Assumptions'!$B$29*'06 Sources &amp; Uses'!$B$16+'03 Assumptions'!$B$30*'03 Assumptions'!$B$31)-'03 Assumptions'!$F$13</f>
        <v/>
      </c>
      <c r="D31" s="64">
        <f>D24+(('08 Debt Schedule'!J28+'08 Debt Schedule'!J29)*D24/'09 Operating Model'!J18)+(-'03 Assumptions'!$B$34*MAX(0,D24+('09 Operating Model'!J10*D24/'09 Operating Model'!J18)-MIN((('03 Assumptions'!$B$26+'03 Assumptions'!$B$27)*D37+'03 Assumptions'!$B$28*D44+'03 Assumptions'!$B$29*'06 Sources &amp; Uses'!$B$16+'03 Assumptions'!$B$30*'03 Assumptions'!$B$31),'03 Assumptions'!$B$45*D24)))-(('03 Assumptions'!$B$26+'03 Assumptions'!$B$27)*D37+'03 Assumptions'!$B$28*D44+'03 Assumptions'!$B$29*'06 Sources &amp; Uses'!$B$16+'03 Assumptions'!$B$30*'03 Assumptions'!$B$31)-'03 Assumptions'!$F$13</f>
        <v/>
      </c>
      <c r="E31" s="64">
        <f>E24+(('08 Debt Schedule'!J28+'08 Debt Schedule'!J29)*E24/'09 Operating Model'!J18)+(-'03 Assumptions'!$B$34*MAX(0,E24+('09 Operating Model'!J10*E24/'09 Operating Model'!J18)-MIN((('03 Assumptions'!$B$26+'03 Assumptions'!$B$27)*E37+'03 Assumptions'!$B$28*E44+'03 Assumptions'!$B$29*'06 Sources &amp; Uses'!$B$16+'03 Assumptions'!$B$30*'03 Assumptions'!$B$31),'03 Assumptions'!$B$45*E24)))-(('03 Assumptions'!$B$26+'03 Assumptions'!$B$27)*E37+'03 Assumptions'!$B$28*E44+'03 Assumptions'!$B$29*'06 Sources &amp; Uses'!$B$16+'03 Assumptions'!$B$30*'03 Assumptions'!$B$31)-'03 Assumptions'!$F$13</f>
        <v/>
      </c>
      <c r="F31" s="64">
        <f>F24+(('08 Debt Schedule'!J28+'08 Debt Schedule'!J29)*F24/'09 Operating Model'!J18)+(-'03 Assumptions'!$B$34*MAX(0,F24+('09 Operating Model'!J10*F24/'09 Operating Model'!J18)-MIN((('03 Assumptions'!$B$26+'03 Assumptions'!$B$27)*F37+'03 Assumptions'!$B$28*F44+'03 Assumptions'!$B$29*'06 Sources &amp; Uses'!$B$16+'03 Assumptions'!$B$30*'03 Assumptions'!$B$31),'03 Assumptions'!$B$45*F24)))-(('03 Assumptions'!$B$26+'03 Assumptions'!$B$27)*F37+'03 Assumptions'!$B$28*F44+'03 Assumptions'!$B$29*'06 Sources &amp; Uses'!$B$16+'03 Assumptions'!$B$30*'03 Assumptions'!$B$31)-'03 Assumptions'!$F$13</f>
        <v/>
      </c>
      <c r="G31" s="64">
        <f>G24+(('08 Debt Schedule'!J28+'08 Debt Schedule'!J29)*G24/'09 Operating Model'!J18)+(-'03 Assumptions'!$B$34*MAX(0,G24+('09 Operating Model'!J10*G24/'09 Operating Model'!J18)-MIN((('03 Assumptions'!$B$26+'03 Assumptions'!$B$27)*G37+'03 Assumptions'!$B$28*G44+'03 Assumptions'!$B$29*'06 Sources &amp; Uses'!$B$16+'03 Assumptions'!$B$30*'03 Assumptions'!$B$31),'03 Assumptions'!$B$45*G24)))-(('03 Assumptions'!$B$26+'03 Assumptions'!$B$27)*G37+'03 Assumptions'!$B$28*G44+'03 Assumptions'!$B$29*'06 Sources &amp; Uses'!$B$16+'03 Assumptions'!$B$30*'03 Assumptions'!$B$31)-'03 Assumptions'!$F$13</f>
        <v/>
      </c>
    </row>
    <row r="32">
      <c r="A32" s="8" t="inlineStr">
        <is>
          <t>FCF pre-amort 2031</t>
        </is>
      </c>
      <c r="C32" s="64">
        <f>C25+(('08 Debt Schedule'!K28+'08 Debt Schedule'!K29)*C25/'09 Operating Model'!K18)+(-'03 Assumptions'!$B$34*MAX(0,C25+('09 Operating Model'!K10*C25/'09 Operating Model'!K18)-MIN((('03 Assumptions'!$B$26+'03 Assumptions'!$B$27)*C38+'03 Assumptions'!$B$28*C45+'03 Assumptions'!$B$29*'06 Sources &amp; Uses'!$B$16+'03 Assumptions'!$B$30*'03 Assumptions'!$B$31),'03 Assumptions'!$B$45*C25)))-(('03 Assumptions'!$B$26+'03 Assumptions'!$B$27)*C38+'03 Assumptions'!$B$28*C45+'03 Assumptions'!$B$29*'06 Sources &amp; Uses'!$B$16+'03 Assumptions'!$B$30*'03 Assumptions'!$B$31)-'03 Assumptions'!$F$13</f>
        <v/>
      </c>
      <c r="D32" s="64">
        <f>D25+(('08 Debt Schedule'!K28+'08 Debt Schedule'!K29)*D25/'09 Operating Model'!K18)+(-'03 Assumptions'!$B$34*MAX(0,D25+('09 Operating Model'!K10*D25/'09 Operating Model'!K18)-MIN((('03 Assumptions'!$B$26+'03 Assumptions'!$B$27)*D38+'03 Assumptions'!$B$28*D45+'03 Assumptions'!$B$29*'06 Sources &amp; Uses'!$B$16+'03 Assumptions'!$B$30*'03 Assumptions'!$B$31),'03 Assumptions'!$B$45*D25)))-(('03 Assumptions'!$B$26+'03 Assumptions'!$B$27)*D38+'03 Assumptions'!$B$28*D45+'03 Assumptions'!$B$29*'06 Sources &amp; Uses'!$B$16+'03 Assumptions'!$B$30*'03 Assumptions'!$B$31)-'03 Assumptions'!$F$13</f>
        <v/>
      </c>
      <c r="E32" s="64">
        <f>E25+(('08 Debt Schedule'!K28+'08 Debt Schedule'!K29)*E25/'09 Operating Model'!K18)+(-'03 Assumptions'!$B$34*MAX(0,E25+('09 Operating Model'!K10*E25/'09 Operating Model'!K18)-MIN((('03 Assumptions'!$B$26+'03 Assumptions'!$B$27)*E38+'03 Assumptions'!$B$28*E45+'03 Assumptions'!$B$29*'06 Sources &amp; Uses'!$B$16+'03 Assumptions'!$B$30*'03 Assumptions'!$B$31),'03 Assumptions'!$B$45*E25)))-(('03 Assumptions'!$B$26+'03 Assumptions'!$B$27)*E38+'03 Assumptions'!$B$28*E45+'03 Assumptions'!$B$29*'06 Sources &amp; Uses'!$B$16+'03 Assumptions'!$B$30*'03 Assumptions'!$B$31)-'03 Assumptions'!$F$13</f>
        <v/>
      </c>
      <c r="F32" s="64">
        <f>F25+(('08 Debt Schedule'!K28+'08 Debt Schedule'!K29)*F25/'09 Operating Model'!K18)+(-'03 Assumptions'!$B$34*MAX(0,F25+('09 Operating Model'!K10*F25/'09 Operating Model'!K18)-MIN((('03 Assumptions'!$B$26+'03 Assumptions'!$B$27)*F38+'03 Assumptions'!$B$28*F45+'03 Assumptions'!$B$29*'06 Sources &amp; Uses'!$B$16+'03 Assumptions'!$B$30*'03 Assumptions'!$B$31),'03 Assumptions'!$B$45*F25)))-(('03 Assumptions'!$B$26+'03 Assumptions'!$B$27)*F38+'03 Assumptions'!$B$28*F45+'03 Assumptions'!$B$29*'06 Sources &amp; Uses'!$B$16+'03 Assumptions'!$B$30*'03 Assumptions'!$B$31)-'03 Assumptions'!$F$13</f>
        <v/>
      </c>
      <c r="G32" s="64">
        <f>G25+(('08 Debt Schedule'!K28+'08 Debt Schedule'!K29)*G25/'09 Operating Model'!K18)+(-'03 Assumptions'!$B$34*MAX(0,G25+('09 Operating Model'!K10*G25/'09 Operating Model'!K18)-MIN((('03 Assumptions'!$B$26+'03 Assumptions'!$B$27)*G38+'03 Assumptions'!$B$28*G45+'03 Assumptions'!$B$29*'06 Sources &amp; Uses'!$B$16+'03 Assumptions'!$B$30*'03 Assumptions'!$B$31),'03 Assumptions'!$B$45*G25)))-(('03 Assumptions'!$B$26+'03 Assumptions'!$B$27)*G38+'03 Assumptions'!$B$28*G45+'03 Assumptions'!$B$29*'06 Sources &amp; Uses'!$B$16+'03 Assumptions'!$B$30*'03 Assumptions'!$B$31)-'03 Assumptions'!$F$13</f>
        <v/>
      </c>
    </row>
    <row r="35">
      <c r="A35" s="8" t="inlineStr">
        <is>
          <t>TLB-EUR end 2027</t>
        </is>
      </c>
      <c r="C35" s="64">
        <f>'06 Sources &amp; Uses'!$B$14-MIN('06 Sources &amp; Uses'!$B$14,'06 Sources &amp; Uses'!$B$14*'03 Assumptions'!$B$38)-MIN('06 Sources &amp; Uses'!$B$14-MIN('06 Sources &amp; Uses'!$B$14,'06 Sources &amp; Uses'!$B$14*'03 Assumptions'!$B$38),MAX(0,C28-MIN('06 Sources &amp; Uses'!$B$14,'06 Sources &amp; Uses'!$B$14*'03 Assumptions'!$B$38)-MIN('06 Sources &amp; Uses'!$B$15,'06 Sources &amp; Uses'!$B$15*'03 Assumptions'!$B$38)))</f>
        <v/>
      </c>
      <c r="D35" s="64">
        <f>'06 Sources &amp; Uses'!$B$14-MIN('06 Sources &amp; Uses'!$B$14,'06 Sources &amp; Uses'!$B$14*'03 Assumptions'!$B$38)-MIN('06 Sources &amp; Uses'!$B$14-MIN('06 Sources &amp; Uses'!$B$14,'06 Sources &amp; Uses'!$B$14*'03 Assumptions'!$B$38),MAX(0,D28-MIN('06 Sources &amp; Uses'!$B$14,'06 Sources &amp; Uses'!$B$14*'03 Assumptions'!$B$38)-MIN('06 Sources &amp; Uses'!$B$15,'06 Sources &amp; Uses'!$B$15*'03 Assumptions'!$B$38)))</f>
        <v/>
      </c>
      <c r="E35" s="64">
        <f>'06 Sources &amp; Uses'!$B$14-MIN('06 Sources &amp; Uses'!$B$14,'06 Sources &amp; Uses'!$B$14*'03 Assumptions'!$B$38)-MIN('06 Sources &amp; Uses'!$B$14-MIN('06 Sources &amp; Uses'!$B$14,'06 Sources &amp; Uses'!$B$14*'03 Assumptions'!$B$38),MAX(0,E28-MIN('06 Sources &amp; Uses'!$B$14,'06 Sources &amp; Uses'!$B$14*'03 Assumptions'!$B$38)-MIN('06 Sources &amp; Uses'!$B$15,'06 Sources &amp; Uses'!$B$15*'03 Assumptions'!$B$38)))</f>
        <v/>
      </c>
      <c r="F35" s="64">
        <f>'06 Sources &amp; Uses'!$B$14-MIN('06 Sources &amp; Uses'!$B$14,'06 Sources &amp; Uses'!$B$14*'03 Assumptions'!$B$38)-MIN('06 Sources &amp; Uses'!$B$14-MIN('06 Sources &amp; Uses'!$B$14,'06 Sources &amp; Uses'!$B$14*'03 Assumptions'!$B$38),MAX(0,F28-MIN('06 Sources &amp; Uses'!$B$14,'06 Sources &amp; Uses'!$B$14*'03 Assumptions'!$B$38)-MIN('06 Sources &amp; Uses'!$B$15,'06 Sources &amp; Uses'!$B$15*'03 Assumptions'!$B$38)))</f>
        <v/>
      </c>
      <c r="G35" s="64">
        <f>'06 Sources &amp; Uses'!$B$14-MIN('06 Sources &amp; Uses'!$B$14,'06 Sources &amp; Uses'!$B$14*'03 Assumptions'!$B$38)-MIN('06 Sources &amp; Uses'!$B$14-MIN('06 Sources &amp; Uses'!$B$14,'06 Sources &amp; Uses'!$B$14*'03 Assumptions'!$B$38),MAX(0,G28-MIN('06 Sources &amp; Uses'!$B$14,'06 Sources &amp; Uses'!$B$14*'03 Assumptions'!$B$38)-MIN('06 Sources &amp; Uses'!$B$15,'06 Sources &amp; Uses'!$B$15*'03 Assumptions'!$B$38)))</f>
        <v/>
      </c>
    </row>
    <row r="36">
      <c r="A36" s="8" t="inlineStr">
        <is>
          <t>TLB-EUR end 2028</t>
        </is>
      </c>
      <c r="C36" s="64">
        <f>C35-MIN(C35,'06 Sources &amp; Uses'!$B$14*'03 Assumptions'!$B$38)-MIN(C35-MIN(C35,'06 Sources &amp; Uses'!$B$14*'03 Assumptions'!$B$38),MAX(0,C29-MIN(C35,'06 Sources &amp; Uses'!$B$14*'03 Assumptions'!$B$38)-MIN(C42,'06 Sources &amp; Uses'!$B$15*'03 Assumptions'!$B$38)))</f>
        <v/>
      </c>
      <c r="D36" s="64">
        <f>D35-MIN(D35,'06 Sources &amp; Uses'!$B$14*'03 Assumptions'!$B$38)-MIN(D35-MIN(D35,'06 Sources &amp; Uses'!$B$14*'03 Assumptions'!$B$38),MAX(0,D29-MIN(D35,'06 Sources &amp; Uses'!$B$14*'03 Assumptions'!$B$38)-MIN(D42,'06 Sources &amp; Uses'!$B$15*'03 Assumptions'!$B$38)))</f>
        <v/>
      </c>
      <c r="E36" s="64">
        <f>E35-MIN(E35,'06 Sources &amp; Uses'!$B$14*'03 Assumptions'!$B$38)-MIN(E35-MIN(E35,'06 Sources &amp; Uses'!$B$14*'03 Assumptions'!$B$38),MAX(0,E29-MIN(E35,'06 Sources &amp; Uses'!$B$14*'03 Assumptions'!$B$38)-MIN(E42,'06 Sources &amp; Uses'!$B$15*'03 Assumptions'!$B$38)))</f>
        <v/>
      </c>
      <c r="F36" s="64">
        <f>F35-MIN(F35,'06 Sources &amp; Uses'!$B$14*'03 Assumptions'!$B$38)-MIN(F35-MIN(F35,'06 Sources &amp; Uses'!$B$14*'03 Assumptions'!$B$38),MAX(0,F29-MIN(F35,'06 Sources &amp; Uses'!$B$14*'03 Assumptions'!$B$38)-MIN(F42,'06 Sources &amp; Uses'!$B$15*'03 Assumptions'!$B$38)))</f>
        <v/>
      </c>
      <c r="G36" s="64">
        <f>G35-MIN(G35,'06 Sources &amp; Uses'!$B$14*'03 Assumptions'!$B$38)-MIN(G35-MIN(G35,'06 Sources &amp; Uses'!$B$14*'03 Assumptions'!$B$38),MAX(0,G29-MIN(G35,'06 Sources &amp; Uses'!$B$14*'03 Assumptions'!$B$38)-MIN(G42,'06 Sources &amp; Uses'!$B$15*'03 Assumptions'!$B$38)))</f>
        <v/>
      </c>
    </row>
    <row r="37">
      <c r="A37" s="8" t="inlineStr">
        <is>
          <t>TLB-EUR end 2029</t>
        </is>
      </c>
      <c r="C37" s="64">
        <f>C36-MIN(C36,'06 Sources &amp; Uses'!$B$14*'03 Assumptions'!$B$38)-MIN(C36-MIN(C36,'06 Sources &amp; Uses'!$B$14*'03 Assumptions'!$B$38),MAX(0,C30-MIN(C36,'06 Sources &amp; Uses'!$B$14*'03 Assumptions'!$B$38)-MIN(C43,'06 Sources &amp; Uses'!$B$15*'03 Assumptions'!$B$38)))</f>
        <v/>
      </c>
      <c r="D37" s="64">
        <f>D36-MIN(D36,'06 Sources &amp; Uses'!$B$14*'03 Assumptions'!$B$38)-MIN(D36-MIN(D36,'06 Sources &amp; Uses'!$B$14*'03 Assumptions'!$B$38),MAX(0,D30-MIN(D36,'06 Sources &amp; Uses'!$B$14*'03 Assumptions'!$B$38)-MIN(D43,'06 Sources &amp; Uses'!$B$15*'03 Assumptions'!$B$38)))</f>
        <v/>
      </c>
      <c r="E37" s="64">
        <f>E36-MIN(E36,'06 Sources &amp; Uses'!$B$14*'03 Assumptions'!$B$38)-MIN(E36-MIN(E36,'06 Sources &amp; Uses'!$B$14*'03 Assumptions'!$B$38),MAX(0,E30-MIN(E36,'06 Sources &amp; Uses'!$B$14*'03 Assumptions'!$B$38)-MIN(E43,'06 Sources &amp; Uses'!$B$15*'03 Assumptions'!$B$38)))</f>
        <v/>
      </c>
      <c r="F37" s="64">
        <f>F36-MIN(F36,'06 Sources &amp; Uses'!$B$14*'03 Assumptions'!$B$38)-MIN(F36-MIN(F36,'06 Sources &amp; Uses'!$B$14*'03 Assumptions'!$B$38),MAX(0,F30-MIN(F36,'06 Sources &amp; Uses'!$B$14*'03 Assumptions'!$B$38)-MIN(F43,'06 Sources &amp; Uses'!$B$15*'03 Assumptions'!$B$38)))</f>
        <v/>
      </c>
      <c r="G37" s="64">
        <f>G36-MIN(G36,'06 Sources &amp; Uses'!$B$14*'03 Assumptions'!$B$38)-MIN(G36-MIN(G36,'06 Sources &amp; Uses'!$B$14*'03 Assumptions'!$B$38),MAX(0,G30-MIN(G36,'06 Sources &amp; Uses'!$B$14*'03 Assumptions'!$B$38)-MIN(G43,'06 Sources &amp; Uses'!$B$15*'03 Assumptions'!$B$38)))</f>
        <v/>
      </c>
    </row>
    <row r="38">
      <c r="A38" s="8" t="inlineStr">
        <is>
          <t>TLB-EUR end 2030</t>
        </is>
      </c>
      <c r="C38" s="64">
        <f>C37-MIN(C37,'06 Sources &amp; Uses'!$B$14*'03 Assumptions'!$B$38)-MIN(C37-MIN(C37,'06 Sources &amp; Uses'!$B$14*'03 Assumptions'!$B$38),MAX(0,C31-MIN(C37,'06 Sources &amp; Uses'!$B$14*'03 Assumptions'!$B$38)-MIN(C44,'06 Sources &amp; Uses'!$B$15*'03 Assumptions'!$B$38)))</f>
        <v/>
      </c>
      <c r="D38" s="64">
        <f>D37-MIN(D37,'06 Sources &amp; Uses'!$B$14*'03 Assumptions'!$B$38)-MIN(D37-MIN(D37,'06 Sources &amp; Uses'!$B$14*'03 Assumptions'!$B$38),MAX(0,D31-MIN(D37,'06 Sources &amp; Uses'!$B$14*'03 Assumptions'!$B$38)-MIN(D44,'06 Sources &amp; Uses'!$B$15*'03 Assumptions'!$B$38)))</f>
        <v/>
      </c>
      <c r="E38" s="64">
        <f>E37-MIN(E37,'06 Sources &amp; Uses'!$B$14*'03 Assumptions'!$B$38)-MIN(E37-MIN(E37,'06 Sources &amp; Uses'!$B$14*'03 Assumptions'!$B$38),MAX(0,E31-MIN(E37,'06 Sources &amp; Uses'!$B$14*'03 Assumptions'!$B$38)-MIN(E44,'06 Sources &amp; Uses'!$B$15*'03 Assumptions'!$B$38)))</f>
        <v/>
      </c>
      <c r="F38" s="64">
        <f>F37-MIN(F37,'06 Sources &amp; Uses'!$B$14*'03 Assumptions'!$B$38)-MIN(F37-MIN(F37,'06 Sources &amp; Uses'!$B$14*'03 Assumptions'!$B$38),MAX(0,F31-MIN(F37,'06 Sources &amp; Uses'!$B$14*'03 Assumptions'!$B$38)-MIN(F44,'06 Sources &amp; Uses'!$B$15*'03 Assumptions'!$B$38)))</f>
        <v/>
      </c>
      <c r="G38" s="64">
        <f>G37-MIN(G37,'06 Sources &amp; Uses'!$B$14*'03 Assumptions'!$B$38)-MIN(G37-MIN(G37,'06 Sources &amp; Uses'!$B$14*'03 Assumptions'!$B$38),MAX(0,G31-MIN(G37,'06 Sources &amp; Uses'!$B$14*'03 Assumptions'!$B$38)-MIN(G44,'06 Sources &amp; Uses'!$B$15*'03 Assumptions'!$B$38)))</f>
        <v/>
      </c>
    </row>
    <row r="39">
      <c r="A39" s="8" t="inlineStr">
        <is>
          <t>TLB-EUR end 2031</t>
        </is>
      </c>
      <c r="C39" s="64">
        <f>C38-MIN(C38,'06 Sources &amp; Uses'!$B$14*'03 Assumptions'!$B$38)-MIN(C38-MIN(C38,'06 Sources &amp; Uses'!$B$14*'03 Assumptions'!$B$38),MAX(0,C32-MIN(C38,'06 Sources &amp; Uses'!$B$14*'03 Assumptions'!$B$38)-MIN(C45,'06 Sources &amp; Uses'!$B$15*'03 Assumptions'!$B$38)))</f>
        <v/>
      </c>
      <c r="D39" s="64">
        <f>D38-MIN(D38,'06 Sources &amp; Uses'!$B$14*'03 Assumptions'!$B$38)-MIN(D38-MIN(D38,'06 Sources &amp; Uses'!$B$14*'03 Assumptions'!$B$38),MAX(0,D32-MIN(D38,'06 Sources &amp; Uses'!$B$14*'03 Assumptions'!$B$38)-MIN(D45,'06 Sources &amp; Uses'!$B$15*'03 Assumptions'!$B$38)))</f>
        <v/>
      </c>
      <c r="E39" s="64">
        <f>E38-MIN(E38,'06 Sources &amp; Uses'!$B$14*'03 Assumptions'!$B$38)-MIN(E38-MIN(E38,'06 Sources &amp; Uses'!$B$14*'03 Assumptions'!$B$38),MAX(0,E32-MIN(E38,'06 Sources &amp; Uses'!$B$14*'03 Assumptions'!$B$38)-MIN(E45,'06 Sources &amp; Uses'!$B$15*'03 Assumptions'!$B$38)))</f>
        <v/>
      </c>
      <c r="F39" s="64">
        <f>F38-MIN(F38,'06 Sources &amp; Uses'!$B$14*'03 Assumptions'!$B$38)-MIN(F38-MIN(F38,'06 Sources &amp; Uses'!$B$14*'03 Assumptions'!$B$38),MAX(0,F32-MIN(F38,'06 Sources &amp; Uses'!$B$14*'03 Assumptions'!$B$38)-MIN(F45,'06 Sources &amp; Uses'!$B$15*'03 Assumptions'!$B$38)))</f>
        <v/>
      </c>
      <c r="G39" s="64">
        <f>G38-MIN(G38,'06 Sources &amp; Uses'!$B$14*'03 Assumptions'!$B$38)-MIN(G38-MIN(G38,'06 Sources &amp; Uses'!$B$14*'03 Assumptions'!$B$38),MAX(0,G32-MIN(G38,'06 Sources &amp; Uses'!$B$14*'03 Assumptions'!$B$38)-MIN(G45,'06 Sources &amp; Uses'!$B$15*'03 Assumptions'!$B$38)))</f>
        <v/>
      </c>
    </row>
    <row r="42">
      <c r="A42" s="8" t="inlineStr">
        <is>
          <t>TLB-USD end 2027</t>
        </is>
      </c>
      <c r="C42" s="64">
        <f>'06 Sources &amp; Uses'!$B$15-MIN('06 Sources &amp; Uses'!$B$15,'06 Sources &amp; Uses'!$B$15*'03 Assumptions'!$B$38)-MIN('06 Sources &amp; Uses'!$B$15-MIN('06 Sources &amp; Uses'!$B$15,'06 Sources &amp; Uses'!$B$15*'03 Assumptions'!$B$38),MAX(0,MAX(0,C28-MIN('06 Sources &amp; Uses'!$B$14,'06 Sources &amp; Uses'!$B$14*'03 Assumptions'!$B$38)-MIN('06 Sources &amp; Uses'!$B$15,'06 Sources &amp; Uses'!$B$15*'03 Assumptions'!$B$38))-('06 Sources &amp; Uses'!$B$14-MIN('06 Sources &amp; Uses'!$B$14,'06 Sources &amp; Uses'!$B$14*'03 Assumptions'!$B$38))))</f>
        <v/>
      </c>
      <c r="D42" s="64">
        <f>'06 Sources &amp; Uses'!$B$15-MIN('06 Sources &amp; Uses'!$B$15,'06 Sources &amp; Uses'!$B$15*'03 Assumptions'!$B$38)-MIN('06 Sources &amp; Uses'!$B$15-MIN('06 Sources &amp; Uses'!$B$15,'06 Sources &amp; Uses'!$B$15*'03 Assumptions'!$B$38),MAX(0,MAX(0,D28-MIN('06 Sources &amp; Uses'!$B$14,'06 Sources &amp; Uses'!$B$14*'03 Assumptions'!$B$38)-MIN('06 Sources &amp; Uses'!$B$15,'06 Sources &amp; Uses'!$B$15*'03 Assumptions'!$B$38))-('06 Sources &amp; Uses'!$B$14-MIN('06 Sources &amp; Uses'!$B$14,'06 Sources &amp; Uses'!$B$14*'03 Assumptions'!$B$38))))</f>
        <v/>
      </c>
      <c r="E42" s="64">
        <f>'06 Sources &amp; Uses'!$B$15-MIN('06 Sources &amp; Uses'!$B$15,'06 Sources &amp; Uses'!$B$15*'03 Assumptions'!$B$38)-MIN('06 Sources &amp; Uses'!$B$15-MIN('06 Sources &amp; Uses'!$B$15,'06 Sources &amp; Uses'!$B$15*'03 Assumptions'!$B$38),MAX(0,MAX(0,E28-MIN('06 Sources &amp; Uses'!$B$14,'06 Sources &amp; Uses'!$B$14*'03 Assumptions'!$B$38)-MIN('06 Sources &amp; Uses'!$B$15,'06 Sources &amp; Uses'!$B$15*'03 Assumptions'!$B$38))-('06 Sources &amp; Uses'!$B$14-MIN('06 Sources &amp; Uses'!$B$14,'06 Sources &amp; Uses'!$B$14*'03 Assumptions'!$B$38))))</f>
        <v/>
      </c>
      <c r="F42" s="64">
        <f>'06 Sources &amp; Uses'!$B$15-MIN('06 Sources &amp; Uses'!$B$15,'06 Sources &amp; Uses'!$B$15*'03 Assumptions'!$B$38)-MIN('06 Sources &amp; Uses'!$B$15-MIN('06 Sources &amp; Uses'!$B$15,'06 Sources &amp; Uses'!$B$15*'03 Assumptions'!$B$38),MAX(0,MAX(0,F28-MIN('06 Sources &amp; Uses'!$B$14,'06 Sources &amp; Uses'!$B$14*'03 Assumptions'!$B$38)-MIN('06 Sources &amp; Uses'!$B$15,'06 Sources &amp; Uses'!$B$15*'03 Assumptions'!$B$38))-('06 Sources &amp; Uses'!$B$14-MIN('06 Sources &amp; Uses'!$B$14,'06 Sources &amp; Uses'!$B$14*'03 Assumptions'!$B$38))))</f>
        <v/>
      </c>
      <c r="G42" s="64">
        <f>'06 Sources &amp; Uses'!$B$15-MIN('06 Sources &amp; Uses'!$B$15,'06 Sources &amp; Uses'!$B$15*'03 Assumptions'!$B$38)-MIN('06 Sources &amp; Uses'!$B$15-MIN('06 Sources &amp; Uses'!$B$15,'06 Sources &amp; Uses'!$B$15*'03 Assumptions'!$B$38),MAX(0,MAX(0,G28-MIN('06 Sources &amp; Uses'!$B$14,'06 Sources &amp; Uses'!$B$14*'03 Assumptions'!$B$38)-MIN('06 Sources &amp; Uses'!$B$15,'06 Sources &amp; Uses'!$B$15*'03 Assumptions'!$B$38))-('06 Sources &amp; Uses'!$B$14-MIN('06 Sources &amp; Uses'!$B$14,'06 Sources &amp; Uses'!$B$14*'03 Assumptions'!$B$38))))</f>
        <v/>
      </c>
    </row>
    <row r="43">
      <c r="A43" s="8" t="inlineStr">
        <is>
          <t>TLB-USD end 2028</t>
        </is>
      </c>
      <c r="C43" s="64">
        <f>C42-MIN(C42,'06 Sources &amp; Uses'!$B$15*'03 Assumptions'!$B$38)-MIN(C42-MIN(C42,'06 Sources &amp; Uses'!$B$15*'03 Assumptions'!$B$38),MAX(0,MAX(0,C29-MIN(C35,'06 Sources &amp; Uses'!$B$14*'03 Assumptions'!$B$38)-MIN(C42,'06 Sources &amp; Uses'!$B$15*'03 Assumptions'!$B$38))-(C35-MIN(C35,'06 Sources &amp; Uses'!$B$14*'03 Assumptions'!$B$38))))</f>
        <v/>
      </c>
      <c r="D43" s="64">
        <f>D42-MIN(D42,'06 Sources &amp; Uses'!$B$15*'03 Assumptions'!$B$38)-MIN(D42-MIN(D42,'06 Sources &amp; Uses'!$B$15*'03 Assumptions'!$B$38),MAX(0,MAX(0,D29-MIN(D35,'06 Sources &amp; Uses'!$B$14*'03 Assumptions'!$B$38)-MIN(D42,'06 Sources &amp; Uses'!$B$15*'03 Assumptions'!$B$38))-(D35-MIN(D35,'06 Sources &amp; Uses'!$B$14*'03 Assumptions'!$B$38))))</f>
        <v/>
      </c>
      <c r="E43" s="64">
        <f>E42-MIN(E42,'06 Sources &amp; Uses'!$B$15*'03 Assumptions'!$B$38)-MIN(E42-MIN(E42,'06 Sources &amp; Uses'!$B$15*'03 Assumptions'!$B$38),MAX(0,MAX(0,E29-MIN(E35,'06 Sources &amp; Uses'!$B$14*'03 Assumptions'!$B$38)-MIN(E42,'06 Sources &amp; Uses'!$B$15*'03 Assumptions'!$B$38))-(E35-MIN(E35,'06 Sources &amp; Uses'!$B$14*'03 Assumptions'!$B$38))))</f>
        <v/>
      </c>
      <c r="F43" s="64">
        <f>F42-MIN(F42,'06 Sources &amp; Uses'!$B$15*'03 Assumptions'!$B$38)-MIN(F42-MIN(F42,'06 Sources &amp; Uses'!$B$15*'03 Assumptions'!$B$38),MAX(0,MAX(0,F29-MIN(F35,'06 Sources &amp; Uses'!$B$14*'03 Assumptions'!$B$38)-MIN(F42,'06 Sources &amp; Uses'!$B$15*'03 Assumptions'!$B$38))-(F35-MIN(F35,'06 Sources &amp; Uses'!$B$14*'03 Assumptions'!$B$38))))</f>
        <v/>
      </c>
      <c r="G43" s="64">
        <f>G42-MIN(G42,'06 Sources &amp; Uses'!$B$15*'03 Assumptions'!$B$38)-MIN(G42-MIN(G42,'06 Sources &amp; Uses'!$B$15*'03 Assumptions'!$B$38),MAX(0,MAX(0,G29-MIN(G35,'06 Sources &amp; Uses'!$B$14*'03 Assumptions'!$B$38)-MIN(G42,'06 Sources &amp; Uses'!$B$15*'03 Assumptions'!$B$38))-(G35-MIN(G35,'06 Sources &amp; Uses'!$B$14*'03 Assumptions'!$B$38))))</f>
        <v/>
      </c>
    </row>
    <row r="44">
      <c r="A44" s="8" t="inlineStr">
        <is>
          <t>TLB-USD end 2029</t>
        </is>
      </c>
      <c r="C44" s="64">
        <f>C43-MIN(C43,'06 Sources &amp; Uses'!$B$15*'03 Assumptions'!$B$38)-MIN(C43-MIN(C43,'06 Sources &amp; Uses'!$B$15*'03 Assumptions'!$B$38),MAX(0,MAX(0,C30-MIN(C36,'06 Sources &amp; Uses'!$B$14*'03 Assumptions'!$B$38)-MIN(C43,'06 Sources &amp; Uses'!$B$15*'03 Assumptions'!$B$38))-(C36-MIN(C36,'06 Sources &amp; Uses'!$B$14*'03 Assumptions'!$B$38))))</f>
        <v/>
      </c>
      <c r="D44" s="64">
        <f>D43-MIN(D43,'06 Sources &amp; Uses'!$B$15*'03 Assumptions'!$B$38)-MIN(D43-MIN(D43,'06 Sources &amp; Uses'!$B$15*'03 Assumptions'!$B$38),MAX(0,MAX(0,D30-MIN(D36,'06 Sources &amp; Uses'!$B$14*'03 Assumptions'!$B$38)-MIN(D43,'06 Sources &amp; Uses'!$B$15*'03 Assumptions'!$B$38))-(D36-MIN(D36,'06 Sources &amp; Uses'!$B$14*'03 Assumptions'!$B$38))))</f>
        <v/>
      </c>
      <c r="E44" s="64">
        <f>E43-MIN(E43,'06 Sources &amp; Uses'!$B$15*'03 Assumptions'!$B$38)-MIN(E43-MIN(E43,'06 Sources &amp; Uses'!$B$15*'03 Assumptions'!$B$38),MAX(0,MAX(0,E30-MIN(E36,'06 Sources &amp; Uses'!$B$14*'03 Assumptions'!$B$38)-MIN(E43,'06 Sources &amp; Uses'!$B$15*'03 Assumptions'!$B$38))-(E36-MIN(E36,'06 Sources &amp; Uses'!$B$14*'03 Assumptions'!$B$38))))</f>
        <v/>
      </c>
      <c r="F44" s="64">
        <f>F43-MIN(F43,'06 Sources &amp; Uses'!$B$15*'03 Assumptions'!$B$38)-MIN(F43-MIN(F43,'06 Sources &amp; Uses'!$B$15*'03 Assumptions'!$B$38),MAX(0,MAX(0,F30-MIN(F36,'06 Sources &amp; Uses'!$B$14*'03 Assumptions'!$B$38)-MIN(F43,'06 Sources &amp; Uses'!$B$15*'03 Assumptions'!$B$38))-(F36-MIN(F36,'06 Sources &amp; Uses'!$B$14*'03 Assumptions'!$B$38))))</f>
        <v/>
      </c>
      <c r="G44" s="64">
        <f>G43-MIN(G43,'06 Sources &amp; Uses'!$B$15*'03 Assumptions'!$B$38)-MIN(G43-MIN(G43,'06 Sources &amp; Uses'!$B$15*'03 Assumptions'!$B$38),MAX(0,MAX(0,G30-MIN(G36,'06 Sources &amp; Uses'!$B$14*'03 Assumptions'!$B$38)-MIN(G43,'06 Sources &amp; Uses'!$B$15*'03 Assumptions'!$B$38))-(G36-MIN(G36,'06 Sources &amp; Uses'!$B$14*'03 Assumptions'!$B$38))))</f>
        <v/>
      </c>
    </row>
    <row r="45">
      <c r="A45" s="8" t="inlineStr">
        <is>
          <t>TLB-USD end 2030</t>
        </is>
      </c>
      <c r="C45" s="64">
        <f>C44-MIN(C44,'06 Sources &amp; Uses'!$B$15*'03 Assumptions'!$B$38)-MIN(C44-MIN(C44,'06 Sources &amp; Uses'!$B$15*'03 Assumptions'!$B$38),MAX(0,MAX(0,C31-MIN(C37,'06 Sources &amp; Uses'!$B$14*'03 Assumptions'!$B$38)-MIN(C44,'06 Sources &amp; Uses'!$B$15*'03 Assumptions'!$B$38))-(C37-MIN(C37,'06 Sources &amp; Uses'!$B$14*'03 Assumptions'!$B$38))))</f>
        <v/>
      </c>
      <c r="D45" s="64">
        <f>D44-MIN(D44,'06 Sources &amp; Uses'!$B$15*'03 Assumptions'!$B$38)-MIN(D44-MIN(D44,'06 Sources &amp; Uses'!$B$15*'03 Assumptions'!$B$38),MAX(0,MAX(0,D31-MIN(D37,'06 Sources &amp; Uses'!$B$14*'03 Assumptions'!$B$38)-MIN(D44,'06 Sources &amp; Uses'!$B$15*'03 Assumptions'!$B$38))-(D37-MIN(D37,'06 Sources &amp; Uses'!$B$14*'03 Assumptions'!$B$38))))</f>
        <v/>
      </c>
      <c r="E45" s="64">
        <f>E44-MIN(E44,'06 Sources &amp; Uses'!$B$15*'03 Assumptions'!$B$38)-MIN(E44-MIN(E44,'06 Sources &amp; Uses'!$B$15*'03 Assumptions'!$B$38),MAX(0,MAX(0,E31-MIN(E37,'06 Sources &amp; Uses'!$B$14*'03 Assumptions'!$B$38)-MIN(E44,'06 Sources &amp; Uses'!$B$15*'03 Assumptions'!$B$38))-(E37-MIN(E37,'06 Sources &amp; Uses'!$B$14*'03 Assumptions'!$B$38))))</f>
        <v/>
      </c>
      <c r="F45" s="64">
        <f>F44-MIN(F44,'06 Sources &amp; Uses'!$B$15*'03 Assumptions'!$B$38)-MIN(F44-MIN(F44,'06 Sources &amp; Uses'!$B$15*'03 Assumptions'!$B$38),MAX(0,MAX(0,F31-MIN(F37,'06 Sources &amp; Uses'!$B$14*'03 Assumptions'!$B$38)-MIN(F44,'06 Sources &amp; Uses'!$B$15*'03 Assumptions'!$B$38))-(F37-MIN(F37,'06 Sources &amp; Uses'!$B$14*'03 Assumptions'!$B$38))))</f>
        <v/>
      </c>
      <c r="G45" s="64">
        <f>G44-MIN(G44,'06 Sources &amp; Uses'!$B$15*'03 Assumptions'!$B$38)-MIN(G44-MIN(G44,'06 Sources &amp; Uses'!$B$15*'03 Assumptions'!$B$38),MAX(0,MAX(0,G31-MIN(G37,'06 Sources &amp; Uses'!$B$14*'03 Assumptions'!$B$38)-MIN(G44,'06 Sources &amp; Uses'!$B$15*'03 Assumptions'!$B$38))-(G37-MIN(G37,'06 Sources &amp; Uses'!$B$14*'03 Assumptions'!$B$38))))</f>
        <v/>
      </c>
    </row>
    <row r="46">
      <c r="A46" s="8" t="inlineStr">
        <is>
          <t>TLB-USD end 2031</t>
        </is>
      </c>
      <c r="C46" s="64">
        <f>C45-MIN(C45,'06 Sources &amp; Uses'!$B$15*'03 Assumptions'!$B$38)-MIN(C45-MIN(C45,'06 Sources &amp; Uses'!$B$15*'03 Assumptions'!$B$38),MAX(0,MAX(0,C32-MIN(C38,'06 Sources &amp; Uses'!$B$14*'03 Assumptions'!$B$38)-MIN(C45,'06 Sources &amp; Uses'!$B$15*'03 Assumptions'!$B$38))-(C38-MIN(C38,'06 Sources &amp; Uses'!$B$14*'03 Assumptions'!$B$38))))</f>
        <v/>
      </c>
      <c r="D46" s="64">
        <f>D45-MIN(D45,'06 Sources &amp; Uses'!$B$15*'03 Assumptions'!$B$38)-MIN(D45-MIN(D45,'06 Sources &amp; Uses'!$B$15*'03 Assumptions'!$B$38),MAX(0,MAX(0,D32-MIN(D38,'06 Sources &amp; Uses'!$B$14*'03 Assumptions'!$B$38)-MIN(D45,'06 Sources &amp; Uses'!$B$15*'03 Assumptions'!$B$38))-(D38-MIN(D38,'06 Sources &amp; Uses'!$B$14*'03 Assumptions'!$B$38))))</f>
        <v/>
      </c>
      <c r="E46" s="64">
        <f>E45-MIN(E45,'06 Sources &amp; Uses'!$B$15*'03 Assumptions'!$B$38)-MIN(E45-MIN(E45,'06 Sources &amp; Uses'!$B$15*'03 Assumptions'!$B$38),MAX(0,MAX(0,E32-MIN(E38,'06 Sources &amp; Uses'!$B$14*'03 Assumptions'!$B$38)-MIN(E45,'06 Sources &amp; Uses'!$B$15*'03 Assumptions'!$B$38))-(E38-MIN(E38,'06 Sources &amp; Uses'!$B$14*'03 Assumptions'!$B$38))))</f>
        <v/>
      </c>
      <c r="F46" s="64">
        <f>F45-MIN(F45,'06 Sources &amp; Uses'!$B$15*'03 Assumptions'!$B$38)-MIN(F45-MIN(F45,'06 Sources &amp; Uses'!$B$15*'03 Assumptions'!$B$38),MAX(0,MAX(0,F32-MIN(F38,'06 Sources &amp; Uses'!$B$14*'03 Assumptions'!$B$38)-MIN(F45,'06 Sources &amp; Uses'!$B$15*'03 Assumptions'!$B$38))-(F38-MIN(F38,'06 Sources &amp; Uses'!$B$14*'03 Assumptions'!$B$38))))</f>
        <v/>
      </c>
      <c r="G46" s="64">
        <f>G45-MIN(G45,'06 Sources &amp; Uses'!$B$15*'03 Assumptions'!$B$38)-MIN(G45-MIN(G45,'06 Sources &amp; Uses'!$B$15*'03 Assumptions'!$B$38),MAX(0,MAX(0,G32-MIN(G38,'06 Sources &amp; Uses'!$B$14*'03 Assumptions'!$B$38)-MIN(G45,'06 Sources &amp; Uses'!$B$15*'03 Assumptions'!$B$38))-(G38-MIN(G38,'06 Sources &amp; Uses'!$B$14*'03 Assumptions'!$B$38))))</f>
        <v/>
      </c>
    </row>
    <row r="49">
      <c r="A49" s="8" t="inlineStr">
        <is>
          <t>Excess cash end 2027</t>
        </is>
      </c>
      <c r="C49" s="64">
        <f>0+MAX(0,MAX(0,C28-MIN('06 Sources &amp; Uses'!$B$14,'06 Sources &amp; Uses'!$B$14*'03 Assumptions'!$B$38)-MIN('06 Sources &amp; Uses'!$B$15,'06 Sources &amp; Uses'!$B$15*'03 Assumptions'!$B$38))-('06 Sources &amp; Uses'!$B$14-MIN('06 Sources &amp; Uses'!$B$14,'06 Sources &amp; Uses'!$B$14*'03 Assumptions'!$B$38))-('06 Sources &amp; Uses'!$B$15-MIN('06 Sources &amp; Uses'!$B$15,'06 Sources &amp; Uses'!$B$15*'03 Assumptions'!$B$38)))</f>
        <v/>
      </c>
      <c r="D49" s="64">
        <f>0+MAX(0,MAX(0,D28-MIN('06 Sources &amp; Uses'!$B$14,'06 Sources &amp; Uses'!$B$14*'03 Assumptions'!$B$38)-MIN('06 Sources &amp; Uses'!$B$15,'06 Sources &amp; Uses'!$B$15*'03 Assumptions'!$B$38))-('06 Sources &amp; Uses'!$B$14-MIN('06 Sources &amp; Uses'!$B$14,'06 Sources &amp; Uses'!$B$14*'03 Assumptions'!$B$38))-('06 Sources &amp; Uses'!$B$15-MIN('06 Sources &amp; Uses'!$B$15,'06 Sources &amp; Uses'!$B$15*'03 Assumptions'!$B$38)))</f>
        <v/>
      </c>
      <c r="E49" s="64">
        <f>0+MAX(0,MAX(0,E28-MIN('06 Sources &amp; Uses'!$B$14,'06 Sources &amp; Uses'!$B$14*'03 Assumptions'!$B$38)-MIN('06 Sources &amp; Uses'!$B$15,'06 Sources &amp; Uses'!$B$15*'03 Assumptions'!$B$38))-('06 Sources &amp; Uses'!$B$14-MIN('06 Sources &amp; Uses'!$B$14,'06 Sources &amp; Uses'!$B$14*'03 Assumptions'!$B$38))-('06 Sources &amp; Uses'!$B$15-MIN('06 Sources &amp; Uses'!$B$15,'06 Sources &amp; Uses'!$B$15*'03 Assumptions'!$B$38)))</f>
        <v/>
      </c>
      <c r="F49" s="64">
        <f>0+MAX(0,MAX(0,F28-MIN('06 Sources &amp; Uses'!$B$14,'06 Sources &amp; Uses'!$B$14*'03 Assumptions'!$B$38)-MIN('06 Sources &amp; Uses'!$B$15,'06 Sources &amp; Uses'!$B$15*'03 Assumptions'!$B$38))-('06 Sources &amp; Uses'!$B$14-MIN('06 Sources &amp; Uses'!$B$14,'06 Sources &amp; Uses'!$B$14*'03 Assumptions'!$B$38))-('06 Sources &amp; Uses'!$B$15-MIN('06 Sources &amp; Uses'!$B$15,'06 Sources &amp; Uses'!$B$15*'03 Assumptions'!$B$38)))</f>
        <v/>
      </c>
      <c r="G49" s="64">
        <f>0+MAX(0,MAX(0,G28-MIN('06 Sources &amp; Uses'!$B$14,'06 Sources &amp; Uses'!$B$14*'03 Assumptions'!$B$38)-MIN('06 Sources &amp; Uses'!$B$15,'06 Sources &amp; Uses'!$B$15*'03 Assumptions'!$B$38))-('06 Sources &amp; Uses'!$B$14-MIN('06 Sources &amp; Uses'!$B$14,'06 Sources &amp; Uses'!$B$14*'03 Assumptions'!$B$38))-('06 Sources &amp; Uses'!$B$15-MIN('06 Sources &amp; Uses'!$B$15,'06 Sources &amp; Uses'!$B$15*'03 Assumptions'!$B$38)))</f>
        <v/>
      </c>
    </row>
    <row r="50">
      <c r="A50" s="8" t="inlineStr">
        <is>
          <t>Excess cash end 2028</t>
        </is>
      </c>
      <c r="C50" s="64">
        <f>C49+MAX(0,MAX(0,C29-MIN(C35,'06 Sources &amp; Uses'!$B$14*'03 Assumptions'!$B$38)-MIN(C42,'06 Sources &amp; Uses'!$B$15*'03 Assumptions'!$B$38))-(C35-MIN(C35,'06 Sources &amp; Uses'!$B$14*'03 Assumptions'!$B$38))-(C42-MIN(C42,'06 Sources &amp; Uses'!$B$15*'03 Assumptions'!$B$38)))</f>
        <v/>
      </c>
      <c r="D50" s="64">
        <f>D49+MAX(0,MAX(0,D29-MIN(D35,'06 Sources &amp; Uses'!$B$14*'03 Assumptions'!$B$38)-MIN(D42,'06 Sources &amp; Uses'!$B$15*'03 Assumptions'!$B$38))-(D35-MIN(D35,'06 Sources &amp; Uses'!$B$14*'03 Assumptions'!$B$38))-(D42-MIN(D42,'06 Sources &amp; Uses'!$B$15*'03 Assumptions'!$B$38)))</f>
        <v/>
      </c>
      <c r="E50" s="64">
        <f>E49+MAX(0,MAX(0,E29-MIN(E35,'06 Sources &amp; Uses'!$B$14*'03 Assumptions'!$B$38)-MIN(E42,'06 Sources &amp; Uses'!$B$15*'03 Assumptions'!$B$38))-(E35-MIN(E35,'06 Sources &amp; Uses'!$B$14*'03 Assumptions'!$B$38))-(E42-MIN(E42,'06 Sources &amp; Uses'!$B$15*'03 Assumptions'!$B$38)))</f>
        <v/>
      </c>
      <c r="F50" s="64">
        <f>F49+MAX(0,MAX(0,F29-MIN(F35,'06 Sources &amp; Uses'!$B$14*'03 Assumptions'!$B$38)-MIN(F42,'06 Sources &amp; Uses'!$B$15*'03 Assumptions'!$B$38))-(F35-MIN(F35,'06 Sources &amp; Uses'!$B$14*'03 Assumptions'!$B$38))-(F42-MIN(F42,'06 Sources &amp; Uses'!$B$15*'03 Assumptions'!$B$38)))</f>
        <v/>
      </c>
      <c r="G50" s="64">
        <f>G49+MAX(0,MAX(0,G29-MIN(G35,'06 Sources &amp; Uses'!$B$14*'03 Assumptions'!$B$38)-MIN(G42,'06 Sources &amp; Uses'!$B$15*'03 Assumptions'!$B$38))-(G35-MIN(G35,'06 Sources &amp; Uses'!$B$14*'03 Assumptions'!$B$38))-(G42-MIN(G42,'06 Sources &amp; Uses'!$B$15*'03 Assumptions'!$B$38)))</f>
        <v/>
      </c>
    </row>
    <row r="51">
      <c r="A51" s="8" t="inlineStr">
        <is>
          <t>Excess cash end 2029</t>
        </is>
      </c>
      <c r="C51" s="64">
        <f>C50+MAX(0,MAX(0,C30-MIN(C36,'06 Sources &amp; Uses'!$B$14*'03 Assumptions'!$B$38)-MIN(C43,'06 Sources &amp; Uses'!$B$15*'03 Assumptions'!$B$38))-(C36-MIN(C36,'06 Sources &amp; Uses'!$B$14*'03 Assumptions'!$B$38))-(C43-MIN(C43,'06 Sources &amp; Uses'!$B$15*'03 Assumptions'!$B$38)))</f>
        <v/>
      </c>
      <c r="D51" s="64">
        <f>D50+MAX(0,MAX(0,D30-MIN(D36,'06 Sources &amp; Uses'!$B$14*'03 Assumptions'!$B$38)-MIN(D43,'06 Sources &amp; Uses'!$B$15*'03 Assumptions'!$B$38))-(D36-MIN(D36,'06 Sources &amp; Uses'!$B$14*'03 Assumptions'!$B$38))-(D43-MIN(D43,'06 Sources &amp; Uses'!$B$15*'03 Assumptions'!$B$38)))</f>
        <v/>
      </c>
      <c r="E51" s="64">
        <f>E50+MAX(0,MAX(0,E30-MIN(E36,'06 Sources &amp; Uses'!$B$14*'03 Assumptions'!$B$38)-MIN(E43,'06 Sources &amp; Uses'!$B$15*'03 Assumptions'!$B$38))-(E36-MIN(E36,'06 Sources &amp; Uses'!$B$14*'03 Assumptions'!$B$38))-(E43-MIN(E43,'06 Sources &amp; Uses'!$B$15*'03 Assumptions'!$B$38)))</f>
        <v/>
      </c>
      <c r="F51" s="64">
        <f>F50+MAX(0,MAX(0,F30-MIN(F36,'06 Sources &amp; Uses'!$B$14*'03 Assumptions'!$B$38)-MIN(F43,'06 Sources &amp; Uses'!$B$15*'03 Assumptions'!$B$38))-(F36-MIN(F36,'06 Sources &amp; Uses'!$B$14*'03 Assumptions'!$B$38))-(F43-MIN(F43,'06 Sources &amp; Uses'!$B$15*'03 Assumptions'!$B$38)))</f>
        <v/>
      </c>
      <c r="G51" s="64">
        <f>G50+MAX(0,MAX(0,G30-MIN(G36,'06 Sources &amp; Uses'!$B$14*'03 Assumptions'!$B$38)-MIN(G43,'06 Sources &amp; Uses'!$B$15*'03 Assumptions'!$B$38))-(G36-MIN(G36,'06 Sources &amp; Uses'!$B$14*'03 Assumptions'!$B$38))-(G43-MIN(G43,'06 Sources &amp; Uses'!$B$15*'03 Assumptions'!$B$38)))</f>
        <v/>
      </c>
    </row>
    <row r="52">
      <c r="A52" s="8" t="inlineStr">
        <is>
          <t>Excess cash end 2030</t>
        </is>
      </c>
      <c r="C52" s="64">
        <f>C51+MAX(0,MAX(0,C31-MIN(C37,'06 Sources &amp; Uses'!$B$14*'03 Assumptions'!$B$38)-MIN(C44,'06 Sources &amp; Uses'!$B$15*'03 Assumptions'!$B$38))-(C37-MIN(C37,'06 Sources &amp; Uses'!$B$14*'03 Assumptions'!$B$38))-(C44-MIN(C44,'06 Sources &amp; Uses'!$B$15*'03 Assumptions'!$B$38)))</f>
        <v/>
      </c>
      <c r="D52" s="64">
        <f>D51+MAX(0,MAX(0,D31-MIN(D37,'06 Sources &amp; Uses'!$B$14*'03 Assumptions'!$B$38)-MIN(D44,'06 Sources &amp; Uses'!$B$15*'03 Assumptions'!$B$38))-(D37-MIN(D37,'06 Sources &amp; Uses'!$B$14*'03 Assumptions'!$B$38))-(D44-MIN(D44,'06 Sources &amp; Uses'!$B$15*'03 Assumptions'!$B$38)))</f>
        <v/>
      </c>
      <c r="E52" s="64">
        <f>E51+MAX(0,MAX(0,E31-MIN(E37,'06 Sources &amp; Uses'!$B$14*'03 Assumptions'!$B$38)-MIN(E44,'06 Sources &amp; Uses'!$B$15*'03 Assumptions'!$B$38))-(E37-MIN(E37,'06 Sources &amp; Uses'!$B$14*'03 Assumptions'!$B$38))-(E44-MIN(E44,'06 Sources &amp; Uses'!$B$15*'03 Assumptions'!$B$38)))</f>
        <v/>
      </c>
      <c r="F52" s="64">
        <f>F51+MAX(0,MAX(0,F31-MIN(F37,'06 Sources &amp; Uses'!$B$14*'03 Assumptions'!$B$38)-MIN(F44,'06 Sources &amp; Uses'!$B$15*'03 Assumptions'!$B$38))-(F37-MIN(F37,'06 Sources &amp; Uses'!$B$14*'03 Assumptions'!$B$38))-(F44-MIN(F44,'06 Sources &amp; Uses'!$B$15*'03 Assumptions'!$B$38)))</f>
        <v/>
      </c>
      <c r="G52" s="64">
        <f>G51+MAX(0,MAX(0,G31-MIN(G37,'06 Sources &amp; Uses'!$B$14*'03 Assumptions'!$B$38)-MIN(G44,'06 Sources &amp; Uses'!$B$15*'03 Assumptions'!$B$38))-(G37-MIN(G37,'06 Sources &amp; Uses'!$B$14*'03 Assumptions'!$B$38))-(G44-MIN(G44,'06 Sources &amp; Uses'!$B$15*'03 Assumptions'!$B$38)))</f>
        <v/>
      </c>
    </row>
    <row r="53">
      <c r="A53" s="8" t="inlineStr">
        <is>
          <t>Excess cash end 2031</t>
        </is>
      </c>
      <c r="C53" s="64">
        <f>C52+MAX(0,MAX(0,C32-MIN(C38,'06 Sources &amp; Uses'!$B$14*'03 Assumptions'!$B$38)-MIN(C45,'06 Sources &amp; Uses'!$B$15*'03 Assumptions'!$B$38))-(C38-MIN(C38,'06 Sources &amp; Uses'!$B$14*'03 Assumptions'!$B$38))-(C45-MIN(C45,'06 Sources &amp; Uses'!$B$15*'03 Assumptions'!$B$38)))</f>
        <v/>
      </c>
      <c r="D53" s="64">
        <f>D52+MAX(0,MAX(0,D32-MIN(D38,'06 Sources &amp; Uses'!$B$14*'03 Assumptions'!$B$38)-MIN(D45,'06 Sources &amp; Uses'!$B$15*'03 Assumptions'!$B$38))-(D38-MIN(D38,'06 Sources &amp; Uses'!$B$14*'03 Assumptions'!$B$38))-(D45-MIN(D45,'06 Sources &amp; Uses'!$B$15*'03 Assumptions'!$B$38)))</f>
        <v/>
      </c>
      <c r="E53" s="64">
        <f>E52+MAX(0,MAX(0,E32-MIN(E38,'06 Sources &amp; Uses'!$B$14*'03 Assumptions'!$B$38)-MIN(E45,'06 Sources &amp; Uses'!$B$15*'03 Assumptions'!$B$38))-(E38-MIN(E38,'06 Sources &amp; Uses'!$B$14*'03 Assumptions'!$B$38))-(E45-MIN(E45,'06 Sources &amp; Uses'!$B$15*'03 Assumptions'!$B$38)))</f>
        <v/>
      </c>
      <c r="F53" s="64">
        <f>F52+MAX(0,MAX(0,F32-MIN(F38,'06 Sources &amp; Uses'!$B$14*'03 Assumptions'!$B$38)-MIN(F45,'06 Sources &amp; Uses'!$B$15*'03 Assumptions'!$B$38))-(F38-MIN(F38,'06 Sources &amp; Uses'!$B$14*'03 Assumptions'!$B$38))-(F45-MIN(F45,'06 Sources &amp; Uses'!$B$15*'03 Assumptions'!$B$38)))</f>
        <v/>
      </c>
      <c r="G53" s="64">
        <f>G52+MAX(0,MAX(0,G32-MIN(G38,'06 Sources &amp; Uses'!$B$14*'03 Assumptions'!$B$38)-MIN(G45,'06 Sources &amp; Uses'!$B$15*'03 Assumptions'!$B$38))-(G38-MIN(G38,'06 Sources &amp; Uses'!$B$14*'03 Assumptions'!$B$38))-(G45-MIN(G45,'06 Sources &amp; Uses'!$B$15*'03 Assumptions'!$B$38)))</f>
        <v/>
      </c>
    </row>
    <row r="56">
      <c r="A56" s="3" t="inlineStr">
        <is>
          <t>GRID 2 - Exit multiple (rows) x EBITDA CAGR (cols) - IRR at 2031 exit, EXACT</t>
        </is>
      </c>
    </row>
    <row r="57">
      <c r="C57" s="46">
        <f>C17</f>
        <v/>
      </c>
      <c r="D57" s="46">
        <f>D17</f>
        <v/>
      </c>
      <c r="E57" s="46">
        <f>E17</f>
        <v/>
      </c>
      <c r="F57" s="46">
        <f>F17</f>
        <v/>
      </c>
      <c r="G57" s="46">
        <f>G17</f>
        <v/>
      </c>
    </row>
    <row r="58">
      <c r="B58" s="57" t="n">
        <v>9</v>
      </c>
      <c r="C58" s="58">
        <f>(($B58*C25-(C39+C46+'06 Sources &amp; Uses'!$B$16-C53-'03 Assumptions'!$B$44))/'06 Sources &amp; Uses'!$B$18)^(1/5)-1</f>
        <v/>
      </c>
      <c r="D58" s="58">
        <f>(($B58*D25-(D39+D46+'06 Sources &amp; Uses'!$B$16-D53-'03 Assumptions'!$B$44))/'06 Sources &amp; Uses'!$B$18)^(1/5)-1</f>
        <v/>
      </c>
      <c r="E58" s="58">
        <f>(($B58*E25-(E39+E46+'06 Sources &amp; Uses'!$B$16-E53-'03 Assumptions'!$B$44))/'06 Sources &amp; Uses'!$B$18)^(1/5)-1</f>
        <v/>
      </c>
      <c r="F58" s="58">
        <f>(($B58*F25-(F39+F46+'06 Sources &amp; Uses'!$B$16-F53-'03 Assumptions'!$B$44))/'06 Sources &amp; Uses'!$B$18)^(1/5)-1</f>
        <v/>
      </c>
      <c r="G58" s="58">
        <f>(($B58*G25-(G39+G46+'06 Sources &amp; Uses'!$B$16-G53-'03 Assumptions'!$B$44))/'06 Sources &amp; Uses'!$B$18)^(1/5)-1</f>
        <v/>
      </c>
    </row>
    <row r="59">
      <c r="B59" s="57" t="n">
        <v>10</v>
      </c>
      <c r="C59" s="58">
        <f>(($B59*C25-(C39+C46+'06 Sources &amp; Uses'!$B$16-C53-'03 Assumptions'!$B$44))/'06 Sources &amp; Uses'!$B$18)^(1/5)-1</f>
        <v/>
      </c>
      <c r="D59" s="58">
        <f>(($B59*D25-(D39+D46+'06 Sources &amp; Uses'!$B$16-D53-'03 Assumptions'!$B$44))/'06 Sources &amp; Uses'!$B$18)^(1/5)-1</f>
        <v/>
      </c>
      <c r="E59" s="58">
        <f>(($B59*E25-(E39+E46+'06 Sources &amp; Uses'!$B$16-E53-'03 Assumptions'!$B$44))/'06 Sources &amp; Uses'!$B$18)^(1/5)-1</f>
        <v/>
      </c>
      <c r="F59" s="58">
        <f>(($B59*F25-(F39+F46+'06 Sources &amp; Uses'!$B$16-F53-'03 Assumptions'!$B$44))/'06 Sources &amp; Uses'!$B$18)^(1/5)-1</f>
        <v/>
      </c>
      <c r="G59" s="58">
        <f>(($B59*G25-(G39+G46+'06 Sources &amp; Uses'!$B$16-G53-'03 Assumptions'!$B$44))/'06 Sources &amp; Uses'!$B$18)^(1/5)-1</f>
        <v/>
      </c>
    </row>
    <row r="60">
      <c r="B60" s="57" t="n">
        <v>11</v>
      </c>
      <c r="C60" s="58">
        <f>(($B60*C25-(C39+C46+'06 Sources &amp; Uses'!$B$16-C53-'03 Assumptions'!$B$44))/'06 Sources &amp; Uses'!$B$18)^(1/5)-1</f>
        <v/>
      </c>
      <c r="D60" s="58">
        <f>(($B60*D25-(D39+D46+'06 Sources &amp; Uses'!$B$16-D53-'03 Assumptions'!$B$44))/'06 Sources &amp; Uses'!$B$18)^(1/5)-1</f>
        <v/>
      </c>
      <c r="E60" s="58">
        <f>(($B60*E25-(E39+E46+'06 Sources &amp; Uses'!$B$16-E53-'03 Assumptions'!$B$44))/'06 Sources &amp; Uses'!$B$18)^(1/5)-1</f>
        <v/>
      </c>
      <c r="F60" s="58">
        <f>(($B60*F25-(F39+F46+'06 Sources &amp; Uses'!$B$16-F53-'03 Assumptions'!$B$44))/'06 Sources &amp; Uses'!$B$18)^(1/5)-1</f>
        <v/>
      </c>
      <c r="G60" s="58">
        <f>(($B60*G25-(G39+G46+'06 Sources &amp; Uses'!$B$16-G53-'03 Assumptions'!$B$44))/'06 Sources &amp; Uses'!$B$18)^(1/5)-1</f>
        <v/>
      </c>
    </row>
    <row r="61">
      <c r="B61" s="57" t="n">
        <v>11.5</v>
      </c>
      <c r="C61" s="58">
        <f>(($B61*C25-(C39+C46+'06 Sources &amp; Uses'!$B$16-C53-'03 Assumptions'!$B$44))/'06 Sources &amp; Uses'!$B$18)^(1/5)-1</f>
        <v/>
      </c>
      <c r="D61" s="58">
        <f>(($B61*D25-(D39+D46+'06 Sources &amp; Uses'!$B$16-D53-'03 Assumptions'!$B$44))/'06 Sources &amp; Uses'!$B$18)^(1/5)-1</f>
        <v/>
      </c>
      <c r="E61" s="58">
        <f>(($B61*E25-(E39+E46+'06 Sources &amp; Uses'!$B$16-E53-'03 Assumptions'!$B$44))/'06 Sources &amp; Uses'!$B$18)^(1/5)-1</f>
        <v/>
      </c>
      <c r="F61" s="58">
        <f>(($B61*F25-(F39+F46+'06 Sources &amp; Uses'!$B$16-F53-'03 Assumptions'!$B$44))/'06 Sources &amp; Uses'!$B$18)^(1/5)-1</f>
        <v/>
      </c>
      <c r="G61" s="58">
        <f>(($B61*G25-(G39+G46+'06 Sources &amp; Uses'!$B$16-G53-'03 Assumptions'!$B$44))/'06 Sources &amp; Uses'!$B$18)^(1/5)-1</f>
        <v/>
      </c>
    </row>
    <row r="62">
      <c r="B62" s="57" t="n">
        <v>12</v>
      </c>
      <c r="C62" s="58">
        <f>(($B62*C25-(C39+C46+'06 Sources &amp; Uses'!$B$16-C53-'03 Assumptions'!$B$44))/'06 Sources &amp; Uses'!$B$18)^(1/5)-1</f>
        <v/>
      </c>
      <c r="D62" s="58">
        <f>(($B62*D25-(D39+D46+'06 Sources &amp; Uses'!$B$16-D53-'03 Assumptions'!$B$44))/'06 Sources &amp; Uses'!$B$18)^(1/5)-1</f>
        <v/>
      </c>
      <c r="E62" s="58">
        <f>(($B62*E25-(E39+E46+'06 Sources &amp; Uses'!$B$16-E53-'03 Assumptions'!$B$44))/'06 Sources &amp; Uses'!$B$18)^(1/5)-1</f>
        <v/>
      </c>
      <c r="F62" s="58">
        <f>(($B62*F25-(F39+F46+'06 Sources &amp; Uses'!$B$16-F53-'03 Assumptions'!$B$44))/'06 Sources &amp; Uses'!$B$18)^(1/5)-1</f>
        <v/>
      </c>
      <c r="G62" s="58">
        <f>(($B62*G25-(G39+G46+'06 Sources &amp; Uses'!$B$16-G53-'03 Assumptions'!$B$44))/'06 Sources &amp; Uses'!$B$18)^(1/5)-1</f>
        <v/>
      </c>
    </row>
    <row r="63">
      <c r="B63" s="57" t="n">
        <v>12.9</v>
      </c>
      <c r="C63" s="58">
        <f>(($B63*C25-(C39+C46+'06 Sources &amp; Uses'!$B$16-C53-'03 Assumptions'!$B$44))/'06 Sources &amp; Uses'!$B$18)^(1/5)-1</f>
        <v/>
      </c>
      <c r="D63" s="58">
        <f>(($B63*D25-(D39+D46+'06 Sources &amp; Uses'!$B$16-D53-'03 Assumptions'!$B$44))/'06 Sources &amp; Uses'!$B$18)^(1/5)-1</f>
        <v/>
      </c>
      <c r="E63" s="58">
        <f>(($B63*E25-(E39+E46+'06 Sources &amp; Uses'!$B$16-E53-'03 Assumptions'!$B$44))/'06 Sources &amp; Uses'!$B$18)^(1/5)-1</f>
        <v/>
      </c>
      <c r="F63" s="58">
        <f>(($B63*F25-(F39+F46+'06 Sources &amp; Uses'!$B$16-F53-'03 Assumptions'!$B$44))/'06 Sources &amp; Uses'!$B$18)^(1/5)-1</f>
        <v/>
      </c>
      <c r="G63" s="58">
        <f>(($B63*G25-(G39+G46+'06 Sources &amp; Uses'!$B$16-G53-'03 Assumptions'!$B$44))/'06 Sources &amp; Uses'!$B$18)^(1/5)-1</f>
        <v/>
      </c>
    </row>
    <row r="64">
      <c r="B64" s="57" t="n">
        <v>14</v>
      </c>
      <c r="C64" s="58">
        <f>(($B64*C25-(C39+C46+'06 Sources &amp; Uses'!$B$16-C53-'03 Assumptions'!$B$44))/'06 Sources &amp; Uses'!$B$18)^(1/5)-1</f>
        <v/>
      </c>
      <c r="D64" s="58">
        <f>(($B64*D25-(D39+D46+'06 Sources &amp; Uses'!$B$16-D53-'03 Assumptions'!$B$44))/'06 Sources &amp; Uses'!$B$18)^(1/5)-1</f>
        <v/>
      </c>
      <c r="E64" s="58">
        <f>(($B64*E25-(E39+E46+'06 Sources &amp; Uses'!$B$16-E53-'03 Assumptions'!$B$44))/'06 Sources &amp; Uses'!$B$18)^(1/5)-1</f>
        <v/>
      </c>
      <c r="F64" s="58">
        <f>(($B64*F25-(F39+F46+'06 Sources &amp; Uses'!$B$16-F53-'03 Assumptions'!$B$44))/'06 Sources &amp; Uses'!$B$18)^(1/5)-1</f>
        <v/>
      </c>
      <c r="G64" s="58">
        <f>(($B64*G25-(G39+G46+'06 Sources &amp; Uses'!$B$16-G53-'03 Assumptions'!$B$44))/'06 Sources &amp; Uses'!$B$18)^(1/5)-1</f>
        <v/>
      </c>
    </row>
    <row r="67">
      <c r="A67" s="3" t="inlineStr">
        <is>
          <t>ENGINE B - entry-leverage cases (cols C-E: 5.0x / 5.5x / 6.0x). Results in GRID 3.</t>
        </is>
      </c>
    </row>
    <row r="68">
      <c r="A68" s="8" t="inlineStr">
        <is>
          <t>Entry leverage</t>
        </is>
      </c>
      <c r="C68" s="57" t="n">
        <v>5</v>
      </c>
      <c r="D68" s="57" t="n">
        <v>5.5</v>
      </c>
      <c r="E68" s="57" t="n">
        <v>6</v>
      </c>
    </row>
    <row r="69">
      <c r="A69" s="8" t="inlineStr">
        <is>
          <t>Total debt</t>
        </is>
      </c>
      <c r="C69" s="64">
        <f>C68*'03 Assumptions'!$B$16</f>
        <v/>
      </c>
      <c r="D69" s="64">
        <f>D68*'03 Assumptions'!$B$16</f>
        <v/>
      </c>
      <c r="E69" s="64">
        <f>E68*'03 Assumptions'!$B$16</f>
        <v/>
      </c>
    </row>
    <row r="70">
      <c r="A70" s="8" t="inlineStr">
        <is>
          <t>Sponsor equity</t>
        </is>
      </c>
      <c r="C70" s="64">
        <f>'06 Sources &amp; Uses'!$B$4+'06 Sources &amp; Uses'!$B$5+'06 Sources &amp; Uses'!$B$6+'03 Assumptions'!$B$44+'03 Assumptions'!$B$25*C69-C69</f>
        <v/>
      </c>
      <c r="D70" s="64">
        <f>'06 Sources &amp; Uses'!$B$4+'06 Sources &amp; Uses'!$B$5+'06 Sources &amp; Uses'!$B$6+'03 Assumptions'!$B$44+'03 Assumptions'!$B$25*D69-D69</f>
        <v/>
      </c>
      <c r="E70" s="64">
        <f>'06 Sources &amp; Uses'!$B$4+'06 Sources &amp; Uses'!$B$5+'06 Sources &amp; Uses'!$B$6+'03 Assumptions'!$B$44+'03 Assumptions'!$B$25*E69-E69</f>
        <v/>
      </c>
    </row>
    <row r="72">
      <c r="A72" s="8" t="inlineStr">
        <is>
          <t>FCF pre-amort 2027</t>
        </is>
      </c>
      <c r="C72" s="64">
        <f>'09 Operating Model'!G18+'08 Debt Schedule'!G28+'08 Debt Schedule'!G29+(-'03 Assumptions'!$B$34*MAX(0,'09 Operating Model'!G18+'09 Operating Model'!G10-MIN((('03 Assumptions'!$B$26+'03 Assumptions'!$B$27)*C$69*'03 Assumptions'!$B$36+'03 Assumptions'!$B$28*C$69*'03 Assumptions'!$B$37+'03 Assumptions'!$B$29*C$69*(1-'03 Assumptions'!$B$36-'03 Assumptions'!$B$37)+'03 Assumptions'!$B$30*'03 Assumptions'!$B$31),'03 Assumptions'!$B$45*'09 Operating Model'!G18)))-(('03 Assumptions'!$B$26+'03 Assumptions'!$B$27)*C$69*'03 Assumptions'!$B$36+'03 Assumptions'!$B$28*C$69*'03 Assumptions'!$B$37+'03 Assumptions'!$B$29*C$69*(1-'03 Assumptions'!$B$36-'03 Assumptions'!$B$37)+'03 Assumptions'!$B$30*'03 Assumptions'!$B$31)-'03 Assumptions'!$F$13</f>
        <v/>
      </c>
      <c r="D72" s="64">
        <f>'09 Operating Model'!G18+'08 Debt Schedule'!G28+'08 Debt Schedule'!G29+(-'03 Assumptions'!$B$34*MAX(0,'09 Operating Model'!G18+'09 Operating Model'!G10-MIN((('03 Assumptions'!$B$26+'03 Assumptions'!$B$27)*D$69*'03 Assumptions'!$B$36+'03 Assumptions'!$B$28*D$69*'03 Assumptions'!$B$37+'03 Assumptions'!$B$29*D$69*(1-'03 Assumptions'!$B$36-'03 Assumptions'!$B$37)+'03 Assumptions'!$B$30*'03 Assumptions'!$B$31),'03 Assumptions'!$B$45*'09 Operating Model'!G18)))-(('03 Assumptions'!$B$26+'03 Assumptions'!$B$27)*D$69*'03 Assumptions'!$B$36+'03 Assumptions'!$B$28*D$69*'03 Assumptions'!$B$37+'03 Assumptions'!$B$29*D$69*(1-'03 Assumptions'!$B$36-'03 Assumptions'!$B$37)+'03 Assumptions'!$B$30*'03 Assumptions'!$B$31)-'03 Assumptions'!$F$13</f>
        <v/>
      </c>
      <c r="E72" s="64">
        <f>'09 Operating Model'!G18+'08 Debt Schedule'!G28+'08 Debt Schedule'!G29+(-'03 Assumptions'!$B$34*MAX(0,'09 Operating Model'!G18+'09 Operating Model'!G10-MIN((('03 Assumptions'!$B$26+'03 Assumptions'!$B$27)*E$69*'03 Assumptions'!$B$36+'03 Assumptions'!$B$28*E$69*'03 Assumptions'!$B$37+'03 Assumptions'!$B$29*E$69*(1-'03 Assumptions'!$B$36-'03 Assumptions'!$B$37)+'03 Assumptions'!$B$30*'03 Assumptions'!$B$31),'03 Assumptions'!$B$45*'09 Operating Model'!G18)))-(('03 Assumptions'!$B$26+'03 Assumptions'!$B$27)*E$69*'03 Assumptions'!$B$36+'03 Assumptions'!$B$28*E$69*'03 Assumptions'!$B$37+'03 Assumptions'!$B$29*E$69*(1-'03 Assumptions'!$B$36-'03 Assumptions'!$B$37)+'03 Assumptions'!$B$30*'03 Assumptions'!$B$31)-'03 Assumptions'!$F$13</f>
        <v/>
      </c>
    </row>
    <row r="73">
      <c r="A73" s="8" t="inlineStr">
        <is>
          <t>FCF pre-amort 2028</t>
        </is>
      </c>
      <c r="C73" s="64">
        <f>'09 Operating Model'!H18+'08 Debt Schedule'!H28+'08 Debt Schedule'!H29+(-'03 Assumptions'!$B$34*MAX(0,'09 Operating Model'!H18+'09 Operating Model'!H10-MIN((('03 Assumptions'!$B$26+'03 Assumptions'!$B$27)*C78+'03 Assumptions'!$B$28*C84+'03 Assumptions'!$B$29*C$69*(1-'03 Assumptions'!$B$36-'03 Assumptions'!$B$37)+'03 Assumptions'!$B$30*'03 Assumptions'!$B$31),'03 Assumptions'!$B$45*'09 Operating Model'!H18)))-(('03 Assumptions'!$B$26+'03 Assumptions'!$B$27)*C78+'03 Assumptions'!$B$28*C84+'03 Assumptions'!$B$29*C$69*(1-'03 Assumptions'!$B$36-'03 Assumptions'!$B$37)+'03 Assumptions'!$B$30*'03 Assumptions'!$B$31)-'03 Assumptions'!$F$13</f>
        <v/>
      </c>
      <c r="D73" s="64">
        <f>'09 Operating Model'!H18+'08 Debt Schedule'!H28+'08 Debt Schedule'!H29+(-'03 Assumptions'!$B$34*MAX(0,'09 Operating Model'!H18+'09 Operating Model'!H10-MIN((('03 Assumptions'!$B$26+'03 Assumptions'!$B$27)*D78+'03 Assumptions'!$B$28*D84+'03 Assumptions'!$B$29*D$69*(1-'03 Assumptions'!$B$36-'03 Assumptions'!$B$37)+'03 Assumptions'!$B$30*'03 Assumptions'!$B$31),'03 Assumptions'!$B$45*'09 Operating Model'!H18)))-(('03 Assumptions'!$B$26+'03 Assumptions'!$B$27)*D78+'03 Assumptions'!$B$28*D84+'03 Assumptions'!$B$29*D$69*(1-'03 Assumptions'!$B$36-'03 Assumptions'!$B$37)+'03 Assumptions'!$B$30*'03 Assumptions'!$B$31)-'03 Assumptions'!$F$13</f>
        <v/>
      </c>
      <c r="E73" s="64">
        <f>'09 Operating Model'!H18+'08 Debt Schedule'!H28+'08 Debt Schedule'!H29+(-'03 Assumptions'!$B$34*MAX(0,'09 Operating Model'!H18+'09 Operating Model'!H10-MIN((('03 Assumptions'!$B$26+'03 Assumptions'!$B$27)*E78+'03 Assumptions'!$B$28*E84+'03 Assumptions'!$B$29*E$69*(1-'03 Assumptions'!$B$36-'03 Assumptions'!$B$37)+'03 Assumptions'!$B$30*'03 Assumptions'!$B$31),'03 Assumptions'!$B$45*'09 Operating Model'!H18)))-(('03 Assumptions'!$B$26+'03 Assumptions'!$B$27)*E78+'03 Assumptions'!$B$28*E84+'03 Assumptions'!$B$29*E$69*(1-'03 Assumptions'!$B$36-'03 Assumptions'!$B$37)+'03 Assumptions'!$B$30*'03 Assumptions'!$B$31)-'03 Assumptions'!$F$13</f>
        <v/>
      </c>
    </row>
    <row r="74">
      <c r="A74" s="8" t="inlineStr">
        <is>
          <t>FCF pre-amort 2029</t>
        </is>
      </c>
      <c r="C74" s="64">
        <f>'09 Operating Model'!I18+'08 Debt Schedule'!I28+'08 Debt Schedule'!I29+(-'03 Assumptions'!$B$34*MAX(0,'09 Operating Model'!I18+'09 Operating Model'!I10-MIN((('03 Assumptions'!$B$26+'03 Assumptions'!$B$27)*C79+'03 Assumptions'!$B$28*C85+'03 Assumptions'!$B$29*C$69*(1-'03 Assumptions'!$B$36-'03 Assumptions'!$B$37)+'03 Assumptions'!$B$30*'03 Assumptions'!$B$31),'03 Assumptions'!$B$45*'09 Operating Model'!I18)))-(('03 Assumptions'!$B$26+'03 Assumptions'!$B$27)*C79+'03 Assumptions'!$B$28*C85+'03 Assumptions'!$B$29*C$69*(1-'03 Assumptions'!$B$36-'03 Assumptions'!$B$37)+'03 Assumptions'!$B$30*'03 Assumptions'!$B$31)-'03 Assumptions'!$F$13</f>
        <v/>
      </c>
      <c r="D74" s="64">
        <f>'09 Operating Model'!I18+'08 Debt Schedule'!I28+'08 Debt Schedule'!I29+(-'03 Assumptions'!$B$34*MAX(0,'09 Operating Model'!I18+'09 Operating Model'!I10-MIN((('03 Assumptions'!$B$26+'03 Assumptions'!$B$27)*D79+'03 Assumptions'!$B$28*D85+'03 Assumptions'!$B$29*D$69*(1-'03 Assumptions'!$B$36-'03 Assumptions'!$B$37)+'03 Assumptions'!$B$30*'03 Assumptions'!$B$31),'03 Assumptions'!$B$45*'09 Operating Model'!I18)))-(('03 Assumptions'!$B$26+'03 Assumptions'!$B$27)*D79+'03 Assumptions'!$B$28*D85+'03 Assumptions'!$B$29*D$69*(1-'03 Assumptions'!$B$36-'03 Assumptions'!$B$37)+'03 Assumptions'!$B$30*'03 Assumptions'!$B$31)-'03 Assumptions'!$F$13</f>
        <v/>
      </c>
      <c r="E74" s="64">
        <f>'09 Operating Model'!I18+'08 Debt Schedule'!I28+'08 Debt Schedule'!I29+(-'03 Assumptions'!$B$34*MAX(0,'09 Operating Model'!I18+'09 Operating Model'!I10-MIN((('03 Assumptions'!$B$26+'03 Assumptions'!$B$27)*E79+'03 Assumptions'!$B$28*E85+'03 Assumptions'!$B$29*E$69*(1-'03 Assumptions'!$B$36-'03 Assumptions'!$B$37)+'03 Assumptions'!$B$30*'03 Assumptions'!$B$31),'03 Assumptions'!$B$45*'09 Operating Model'!I18)))-(('03 Assumptions'!$B$26+'03 Assumptions'!$B$27)*E79+'03 Assumptions'!$B$28*E85+'03 Assumptions'!$B$29*E$69*(1-'03 Assumptions'!$B$36-'03 Assumptions'!$B$37)+'03 Assumptions'!$B$30*'03 Assumptions'!$B$31)-'03 Assumptions'!$F$13</f>
        <v/>
      </c>
    </row>
    <row r="75">
      <c r="A75" s="8" t="inlineStr">
        <is>
          <t>FCF pre-amort 2030</t>
        </is>
      </c>
      <c r="C75" s="64">
        <f>'09 Operating Model'!J18+'08 Debt Schedule'!J28+'08 Debt Schedule'!J29+(-'03 Assumptions'!$B$34*MAX(0,'09 Operating Model'!J18+'09 Operating Model'!J10-MIN((('03 Assumptions'!$B$26+'03 Assumptions'!$B$27)*C80+'03 Assumptions'!$B$28*C86+'03 Assumptions'!$B$29*C$69*(1-'03 Assumptions'!$B$36-'03 Assumptions'!$B$37)+'03 Assumptions'!$B$30*'03 Assumptions'!$B$31),'03 Assumptions'!$B$45*'09 Operating Model'!J18)))-(('03 Assumptions'!$B$26+'03 Assumptions'!$B$27)*C80+'03 Assumptions'!$B$28*C86+'03 Assumptions'!$B$29*C$69*(1-'03 Assumptions'!$B$36-'03 Assumptions'!$B$37)+'03 Assumptions'!$B$30*'03 Assumptions'!$B$31)-'03 Assumptions'!$F$13</f>
        <v/>
      </c>
      <c r="D75" s="64">
        <f>'09 Operating Model'!J18+'08 Debt Schedule'!J28+'08 Debt Schedule'!J29+(-'03 Assumptions'!$B$34*MAX(0,'09 Operating Model'!J18+'09 Operating Model'!J10-MIN((('03 Assumptions'!$B$26+'03 Assumptions'!$B$27)*D80+'03 Assumptions'!$B$28*D86+'03 Assumptions'!$B$29*D$69*(1-'03 Assumptions'!$B$36-'03 Assumptions'!$B$37)+'03 Assumptions'!$B$30*'03 Assumptions'!$B$31),'03 Assumptions'!$B$45*'09 Operating Model'!J18)))-(('03 Assumptions'!$B$26+'03 Assumptions'!$B$27)*D80+'03 Assumptions'!$B$28*D86+'03 Assumptions'!$B$29*D$69*(1-'03 Assumptions'!$B$36-'03 Assumptions'!$B$37)+'03 Assumptions'!$B$30*'03 Assumptions'!$B$31)-'03 Assumptions'!$F$13</f>
        <v/>
      </c>
      <c r="E75" s="64">
        <f>'09 Operating Model'!J18+'08 Debt Schedule'!J28+'08 Debt Schedule'!J29+(-'03 Assumptions'!$B$34*MAX(0,'09 Operating Model'!J18+'09 Operating Model'!J10-MIN((('03 Assumptions'!$B$26+'03 Assumptions'!$B$27)*E80+'03 Assumptions'!$B$28*E86+'03 Assumptions'!$B$29*E$69*(1-'03 Assumptions'!$B$36-'03 Assumptions'!$B$37)+'03 Assumptions'!$B$30*'03 Assumptions'!$B$31),'03 Assumptions'!$B$45*'09 Operating Model'!J18)))-(('03 Assumptions'!$B$26+'03 Assumptions'!$B$27)*E80+'03 Assumptions'!$B$28*E86+'03 Assumptions'!$B$29*E$69*(1-'03 Assumptions'!$B$36-'03 Assumptions'!$B$37)+'03 Assumptions'!$B$30*'03 Assumptions'!$B$31)-'03 Assumptions'!$F$13</f>
        <v/>
      </c>
    </row>
    <row r="76">
      <c r="A76" s="8" t="inlineStr">
        <is>
          <t>FCF pre-amort 2031</t>
        </is>
      </c>
      <c r="C76" s="64">
        <f>'09 Operating Model'!K18+'08 Debt Schedule'!K28+'08 Debt Schedule'!K29+(-'03 Assumptions'!$B$34*MAX(0,'09 Operating Model'!K18+'09 Operating Model'!K10-MIN((('03 Assumptions'!$B$26+'03 Assumptions'!$B$27)*C81+'03 Assumptions'!$B$28*C87+'03 Assumptions'!$B$29*C$69*(1-'03 Assumptions'!$B$36-'03 Assumptions'!$B$37)+'03 Assumptions'!$B$30*'03 Assumptions'!$B$31),'03 Assumptions'!$B$45*'09 Operating Model'!K18)))-(('03 Assumptions'!$B$26+'03 Assumptions'!$B$27)*C81+'03 Assumptions'!$B$28*C87+'03 Assumptions'!$B$29*C$69*(1-'03 Assumptions'!$B$36-'03 Assumptions'!$B$37)+'03 Assumptions'!$B$30*'03 Assumptions'!$B$31)-'03 Assumptions'!$F$13</f>
        <v/>
      </c>
      <c r="D76" s="64">
        <f>'09 Operating Model'!K18+'08 Debt Schedule'!K28+'08 Debt Schedule'!K29+(-'03 Assumptions'!$B$34*MAX(0,'09 Operating Model'!K18+'09 Operating Model'!K10-MIN((('03 Assumptions'!$B$26+'03 Assumptions'!$B$27)*D81+'03 Assumptions'!$B$28*D87+'03 Assumptions'!$B$29*D$69*(1-'03 Assumptions'!$B$36-'03 Assumptions'!$B$37)+'03 Assumptions'!$B$30*'03 Assumptions'!$B$31),'03 Assumptions'!$B$45*'09 Operating Model'!K18)))-(('03 Assumptions'!$B$26+'03 Assumptions'!$B$27)*D81+'03 Assumptions'!$B$28*D87+'03 Assumptions'!$B$29*D$69*(1-'03 Assumptions'!$B$36-'03 Assumptions'!$B$37)+'03 Assumptions'!$B$30*'03 Assumptions'!$B$31)-'03 Assumptions'!$F$13</f>
        <v/>
      </c>
      <c r="E76" s="64">
        <f>'09 Operating Model'!K18+'08 Debt Schedule'!K28+'08 Debt Schedule'!K29+(-'03 Assumptions'!$B$34*MAX(0,'09 Operating Model'!K18+'09 Operating Model'!K10-MIN((('03 Assumptions'!$B$26+'03 Assumptions'!$B$27)*E81+'03 Assumptions'!$B$28*E87+'03 Assumptions'!$B$29*E$69*(1-'03 Assumptions'!$B$36-'03 Assumptions'!$B$37)+'03 Assumptions'!$B$30*'03 Assumptions'!$B$31),'03 Assumptions'!$B$45*'09 Operating Model'!K18)))-(('03 Assumptions'!$B$26+'03 Assumptions'!$B$27)*E81+'03 Assumptions'!$B$28*E87+'03 Assumptions'!$B$29*E$69*(1-'03 Assumptions'!$B$36-'03 Assumptions'!$B$37)+'03 Assumptions'!$B$30*'03 Assumptions'!$B$31)-'03 Assumptions'!$F$13</f>
        <v/>
      </c>
    </row>
    <row r="78">
      <c r="A78" s="8" t="inlineStr">
        <is>
          <t>TLB-EUR end 2027</t>
        </is>
      </c>
      <c r="C78" s="64">
        <f>C$69*'03 Assumptions'!$B$36-MIN(C$69*'03 Assumptions'!$B$36,C$69*'03 Assumptions'!$B$36*'03 Assumptions'!$B$38)-MIN(C$69*'03 Assumptions'!$B$36-MIN(C$69*'03 Assumptions'!$B$36,C$69*'03 Assumptions'!$B$36*'03 Assumptions'!$B$38),MAX(0,C72-MIN(C$69*'03 Assumptions'!$B$36,C$69*'03 Assumptions'!$B$36*'03 Assumptions'!$B$38)-MIN(C$69*'03 Assumptions'!$B$37,C$69*'03 Assumptions'!$B$37*'03 Assumptions'!$B$38)))</f>
        <v/>
      </c>
      <c r="D78" s="64">
        <f>D$69*'03 Assumptions'!$B$36-MIN(D$69*'03 Assumptions'!$B$36,D$69*'03 Assumptions'!$B$36*'03 Assumptions'!$B$38)-MIN(D$69*'03 Assumptions'!$B$36-MIN(D$69*'03 Assumptions'!$B$36,D$69*'03 Assumptions'!$B$36*'03 Assumptions'!$B$38),MAX(0,D72-MIN(D$69*'03 Assumptions'!$B$36,D$69*'03 Assumptions'!$B$36*'03 Assumptions'!$B$38)-MIN(D$69*'03 Assumptions'!$B$37,D$69*'03 Assumptions'!$B$37*'03 Assumptions'!$B$38)))</f>
        <v/>
      </c>
      <c r="E78" s="64">
        <f>E$69*'03 Assumptions'!$B$36-MIN(E$69*'03 Assumptions'!$B$36,E$69*'03 Assumptions'!$B$36*'03 Assumptions'!$B$38)-MIN(E$69*'03 Assumptions'!$B$36-MIN(E$69*'03 Assumptions'!$B$36,E$69*'03 Assumptions'!$B$36*'03 Assumptions'!$B$38),MAX(0,E72-MIN(E$69*'03 Assumptions'!$B$36,E$69*'03 Assumptions'!$B$36*'03 Assumptions'!$B$38)-MIN(E$69*'03 Assumptions'!$B$37,E$69*'03 Assumptions'!$B$37*'03 Assumptions'!$B$38)))</f>
        <v/>
      </c>
    </row>
    <row r="79">
      <c r="A79" s="8" t="inlineStr">
        <is>
          <t>TLB-EUR end 2028</t>
        </is>
      </c>
      <c r="C79" s="64">
        <f>C78-MIN(C78,C$69*'03 Assumptions'!$B$36*'03 Assumptions'!$B$38)-MIN(C78-MIN(C78,C$69*'03 Assumptions'!$B$36*'03 Assumptions'!$B$38),MAX(0,C73-MIN(C78,C$69*'03 Assumptions'!$B$36*'03 Assumptions'!$B$38)-MIN(C84,C$69*'03 Assumptions'!$B$37*'03 Assumptions'!$B$38)))</f>
        <v/>
      </c>
      <c r="D79" s="64">
        <f>D78-MIN(D78,D$69*'03 Assumptions'!$B$36*'03 Assumptions'!$B$38)-MIN(D78-MIN(D78,D$69*'03 Assumptions'!$B$36*'03 Assumptions'!$B$38),MAX(0,D73-MIN(D78,D$69*'03 Assumptions'!$B$36*'03 Assumptions'!$B$38)-MIN(D84,D$69*'03 Assumptions'!$B$37*'03 Assumptions'!$B$38)))</f>
        <v/>
      </c>
      <c r="E79" s="64">
        <f>E78-MIN(E78,E$69*'03 Assumptions'!$B$36*'03 Assumptions'!$B$38)-MIN(E78-MIN(E78,E$69*'03 Assumptions'!$B$36*'03 Assumptions'!$B$38),MAX(0,E73-MIN(E78,E$69*'03 Assumptions'!$B$36*'03 Assumptions'!$B$38)-MIN(E84,E$69*'03 Assumptions'!$B$37*'03 Assumptions'!$B$38)))</f>
        <v/>
      </c>
    </row>
    <row r="80">
      <c r="A80" s="8" t="inlineStr">
        <is>
          <t>TLB-EUR end 2029</t>
        </is>
      </c>
      <c r="C80" s="64">
        <f>C79-MIN(C79,C$69*'03 Assumptions'!$B$36*'03 Assumptions'!$B$38)-MIN(C79-MIN(C79,C$69*'03 Assumptions'!$B$36*'03 Assumptions'!$B$38),MAX(0,C74-MIN(C79,C$69*'03 Assumptions'!$B$36*'03 Assumptions'!$B$38)-MIN(C85,C$69*'03 Assumptions'!$B$37*'03 Assumptions'!$B$38)))</f>
        <v/>
      </c>
      <c r="D80" s="64">
        <f>D79-MIN(D79,D$69*'03 Assumptions'!$B$36*'03 Assumptions'!$B$38)-MIN(D79-MIN(D79,D$69*'03 Assumptions'!$B$36*'03 Assumptions'!$B$38),MAX(0,D74-MIN(D79,D$69*'03 Assumptions'!$B$36*'03 Assumptions'!$B$38)-MIN(D85,D$69*'03 Assumptions'!$B$37*'03 Assumptions'!$B$38)))</f>
        <v/>
      </c>
      <c r="E80" s="64">
        <f>E79-MIN(E79,E$69*'03 Assumptions'!$B$36*'03 Assumptions'!$B$38)-MIN(E79-MIN(E79,E$69*'03 Assumptions'!$B$36*'03 Assumptions'!$B$38),MAX(0,E74-MIN(E79,E$69*'03 Assumptions'!$B$36*'03 Assumptions'!$B$38)-MIN(E85,E$69*'03 Assumptions'!$B$37*'03 Assumptions'!$B$38)))</f>
        <v/>
      </c>
    </row>
    <row r="81">
      <c r="A81" s="8" t="inlineStr">
        <is>
          <t>TLB-EUR end 2030</t>
        </is>
      </c>
      <c r="C81" s="64">
        <f>C80-MIN(C80,C$69*'03 Assumptions'!$B$36*'03 Assumptions'!$B$38)-MIN(C80-MIN(C80,C$69*'03 Assumptions'!$B$36*'03 Assumptions'!$B$38),MAX(0,C75-MIN(C80,C$69*'03 Assumptions'!$B$36*'03 Assumptions'!$B$38)-MIN(C86,C$69*'03 Assumptions'!$B$37*'03 Assumptions'!$B$38)))</f>
        <v/>
      </c>
      <c r="D81" s="64">
        <f>D80-MIN(D80,D$69*'03 Assumptions'!$B$36*'03 Assumptions'!$B$38)-MIN(D80-MIN(D80,D$69*'03 Assumptions'!$B$36*'03 Assumptions'!$B$38),MAX(0,D75-MIN(D80,D$69*'03 Assumptions'!$B$36*'03 Assumptions'!$B$38)-MIN(D86,D$69*'03 Assumptions'!$B$37*'03 Assumptions'!$B$38)))</f>
        <v/>
      </c>
      <c r="E81" s="64">
        <f>E80-MIN(E80,E$69*'03 Assumptions'!$B$36*'03 Assumptions'!$B$38)-MIN(E80-MIN(E80,E$69*'03 Assumptions'!$B$36*'03 Assumptions'!$B$38),MAX(0,E75-MIN(E80,E$69*'03 Assumptions'!$B$36*'03 Assumptions'!$B$38)-MIN(E86,E$69*'03 Assumptions'!$B$37*'03 Assumptions'!$B$38)))</f>
        <v/>
      </c>
    </row>
    <row r="82">
      <c r="A82" s="8" t="inlineStr">
        <is>
          <t>TLB-EUR end 2031</t>
        </is>
      </c>
      <c r="C82" s="64">
        <f>C81-MIN(C81,C$69*'03 Assumptions'!$B$36*'03 Assumptions'!$B$38)-MIN(C81-MIN(C81,C$69*'03 Assumptions'!$B$36*'03 Assumptions'!$B$38),MAX(0,C76-MIN(C81,C$69*'03 Assumptions'!$B$36*'03 Assumptions'!$B$38)-MIN(C87,C$69*'03 Assumptions'!$B$37*'03 Assumptions'!$B$38)))</f>
        <v/>
      </c>
      <c r="D82" s="64">
        <f>D81-MIN(D81,D$69*'03 Assumptions'!$B$36*'03 Assumptions'!$B$38)-MIN(D81-MIN(D81,D$69*'03 Assumptions'!$B$36*'03 Assumptions'!$B$38),MAX(0,D76-MIN(D81,D$69*'03 Assumptions'!$B$36*'03 Assumptions'!$B$38)-MIN(D87,D$69*'03 Assumptions'!$B$37*'03 Assumptions'!$B$38)))</f>
        <v/>
      </c>
      <c r="E82" s="64">
        <f>E81-MIN(E81,E$69*'03 Assumptions'!$B$36*'03 Assumptions'!$B$38)-MIN(E81-MIN(E81,E$69*'03 Assumptions'!$B$36*'03 Assumptions'!$B$38),MAX(0,E76-MIN(E81,E$69*'03 Assumptions'!$B$36*'03 Assumptions'!$B$38)-MIN(E87,E$69*'03 Assumptions'!$B$37*'03 Assumptions'!$B$38)))</f>
        <v/>
      </c>
    </row>
    <row r="84">
      <c r="A84" s="8" t="inlineStr">
        <is>
          <t>TLB-USD end 2027</t>
        </is>
      </c>
      <c r="C84" s="64">
        <f>C$69*'03 Assumptions'!$B$37-MIN(C$69*'03 Assumptions'!$B$37,C$69*'03 Assumptions'!$B$37*'03 Assumptions'!$B$38)-MIN(C$69*'03 Assumptions'!$B$37-MIN(C$69*'03 Assumptions'!$B$37,C$69*'03 Assumptions'!$B$37*'03 Assumptions'!$B$38),MAX(0,MAX(0,C72-MIN(C$69*'03 Assumptions'!$B$36,C$69*'03 Assumptions'!$B$36*'03 Assumptions'!$B$38)-MIN(C$69*'03 Assumptions'!$B$37,C$69*'03 Assumptions'!$B$37*'03 Assumptions'!$B$38))-(C$69*'03 Assumptions'!$B$36-MIN(C$69*'03 Assumptions'!$B$36,C$69*'03 Assumptions'!$B$36*'03 Assumptions'!$B$38))))</f>
        <v/>
      </c>
      <c r="D84" s="64">
        <f>D$69*'03 Assumptions'!$B$37-MIN(D$69*'03 Assumptions'!$B$37,D$69*'03 Assumptions'!$B$37*'03 Assumptions'!$B$38)-MIN(D$69*'03 Assumptions'!$B$37-MIN(D$69*'03 Assumptions'!$B$37,D$69*'03 Assumptions'!$B$37*'03 Assumptions'!$B$38),MAX(0,MAX(0,D72-MIN(D$69*'03 Assumptions'!$B$36,D$69*'03 Assumptions'!$B$36*'03 Assumptions'!$B$38)-MIN(D$69*'03 Assumptions'!$B$37,D$69*'03 Assumptions'!$B$37*'03 Assumptions'!$B$38))-(D$69*'03 Assumptions'!$B$36-MIN(D$69*'03 Assumptions'!$B$36,D$69*'03 Assumptions'!$B$36*'03 Assumptions'!$B$38))))</f>
        <v/>
      </c>
      <c r="E84" s="64">
        <f>E$69*'03 Assumptions'!$B$37-MIN(E$69*'03 Assumptions'!$B$37,E$69*'03 Assumptions'!$B$37*'03 Assumptions'!$B$38)-MIN(E$69*'03 Assumptions'!$B$37-MIN(E$69*'03 Assumptions'!$B$37,E$69*'03 Assumptions'!$B$37*'03 Assumptions'!$B$38),MAX(0,MAX(0,E72-MIN(E$69*'03 Assumptions'!$B$36,E$69*'03 Assumptions'!$B$36*'03 Assumptions'!$B$38)-MIN(E$69*'03 Assumptions'!$B$37,E$69*'03 Assumptions'!$B$37*'03 Assumptions'!$B$38))-(E$69*'03 Assumptions'!$B$36-MIN(E$69*'03 Assumptions'!$B$36,E$69*'03 Assumptions'!$B$36*'03 Assumptions'!$B$38))))</f>
        <v/>
      </c>
    </row>
    <row r="85">
      <c r="A85" s="8" t="inlineStr">
        <is>
          <t>TLB-USD end 2028</t>
        </is>
      </c>
      <c r="C85" s="64">
        <f>C84-MIN(C84,C$69*'03 Assumptions'!$B$37*'03 Assumptions'!$B$38)-MIN(C84-MIN(C84,C$69*'03 Assumptions'!$B$37*'03 Assumptions'!$B$38),MAX(0,MAX(0,C73-MIN(C78,C$69*'03 Assumptions'!$B$36*'03 Assumptions'!$B$38)-MIN(C84,C$69*'03 Assumptions'!$B$37*'03 Assumptions'!$B$38))-(C78-MIN(C78,C$69*'03 Assumptions'!$B$36*'03 Assumptions'!$B$38))))</f>
        <v/>
      </c>
      <c r="D85" s="64">
        <f>D84-MIN(D84,D$69*'03 Assumptions'!$B$37*'03 Assumptions'!$B$38)-MIN(D84-MIN(D84,D$69*'03 Assumptions'!$B$37*'03 Assumptions'!$B$38),MAX(0,MAX(0,D73-MIN(D78,D$69*'03 Assumptions'!$B$36*'03 Assumptions'!$B$38)-MIN(D84,D$69*'03 Assumptions'!$B$37*'03 Assumptions'!$B$38))-(D78-MIN(D78,D$69*'03 Assumptions'!$B$36*'03 Assumptions'!$B$38))))</f>
        <v/>
      </c>
      <c r="E85" s="64">
        <f>E84-MIN(E84,E$69*'03 Assumptions'!$B$37*'03 Assumptions'!$B$38)-MIN(E84-MIN(E84,E$69*'03 Assumptions'!$B$37*'03 Assumptions'!$B$38),MAX(0,MAX(0,E73-MIN(E78,E$69*'03 Assumptions'!$B$36*'03 Assumptions'!$B$38)-MIN(E84,E$69*'03 Assumptions'!$B$37*'03 Assumptions'!$B$38))-(E78-MIN(E78,E$69*'03 Assumptions'!$B$36*'03 Assumptions'!$B$38))))</f>
        <v/>
      </c>
    </row>
    <row r="86">
      <c r="A86" s="8" t="inlineStr">
        <is>
          <t>TLB-USD end 2029</t>
        </is>
      </c>
      <c r="C86" s="64">
        <f>C85-MIN(C85,C$69*'03 Assumptions'!$B$37*'03 Assumptions'!$B$38)-MIN(C85-MIN(C85,C$69*'03 Assumptions'!$B$37*'03 Assumptions'!$B$38),MAX(0,MAX(0,C74-MIN(C79,C$69*'03 Assumptions'!$B$36*'03 Assumptions'!$B$38)-MIN(C85,C$69*'03 Assumptions'!$B$37*'03 Assumptions'!$B$38))-(C79-MIN(C79,C$69*'03 Assumptions'!$B$36*'03 Assumptions'!$B$38))))</f>
        <v/>
      </c>
      <c r="D86" s="64">
        <f>D85-MIN(D85,D$69*'03 Assumptions'!$B$37*'03 Assumptions'!$B$38)-MIN(D85-MIN(D85,D$69*'03 Assumptions'!$B$37*'03 Assumptions'!$B$38),MAX(0,MAX(0,D74-MIN(D79,D$69*'03 Assumptions'!$B$36*'03 Assumptions'!$B$38)-MIN(D85,D$69*'03 Assumptions'!$B$37*'03 Assumptions'!$B$38))-(D79-MIN(D79,D$69*'03 Assumptions'!$B$36*'03 Assumptions'!$B$38))))</f>
        <v/>
      </c>
      <c r="E86" s="64">
        <f>E85-MIN(E85,E$69*'03 Assumptions'!$B$37*'03 Assumptions'!$B$38)-MIN(E85-MIN(E85,E$69*'03 Assumptions'!$B$37*'03 Assumptions'!$B$38),MAX(0,MAX(0,E74-MIN(E79,E$69*'03 Assumptions'!$B$36*'03 Assumptions'!$B$38)-MIN(E85,E$69*'03 Assumptions'!$B$37*'03 Assumptions'!$B$38))-(E79-MIN(E79,E$69*'03 Assumptions'!$B$36*'03 Assumptions'!$B$38))))</f>
        <v/>
      </c>
    </row>
    <row r="87">
      <c r="A87" s="8" t="inlineStr">
        <is>
          <t>TLB-USD end 2030</t>
        </is>
      </c>
      <c r="C87" s="64">
        <f>C86-MIN(C86,C$69*'03 Assumptions'!$B$37*'03 Assumptions'!$B$38)-MIN(C86-MIN(C86,C$69*'03 Assumptions'!$B$37*'03 Assumptions'!$B$38),MAX(0,MAX(0,C75-MIN(C80,C$69*'03 Assumptions'!$B$36*'03 Assumptions'!$B$38)-MIN(C86,C$69*'03 Assumptions'!$B$37*'03 Assumptions'!$B$38))-(C80-MIN(C80,C$69*'03 Assumptions'!$B$36*'03 Assumptions'!$B$38))))</f>
        <v/>
      </c>
      <c r="D87" s="64">
        <f>D86-MIN(D86,D$69*'03 Assumptions'!$B$37*'03 Assumptions'!$B$38)-MIN(D86-MIN(D86,D$69*'03 Assumptions'!$B$37*'03 Assumptions'!$B$38),MAX(0,MAX(0,D75-MIN(D80,D$69*'03 Assumptions'!$B$36*'03 Assumptions'!$B$38)-MIN(D86,D$69*'03 Assumptions'!$B$37*'03 Assumptions'!$B$38))-(D80-MIN(D80,D$69*'03 Assumptions'!$B$36*'03 Assumptions'!$B$38))))</f>
        <v/>
      </c>
      <c r="E87" s="64">
        <f>E86-MIN(E86,E$69*'03 Assumptions'!$B$37*'03 Assumptions'!$B$38)-MIN(E86-MIN(E86,E$69*'03 Assumptions'!$B$37*'03 Assumptions'!$B$38),MAX(0,MAX(0,E75-MIN(E80,E$69*'03 Assumptions'!$B$36*'03 Assumptions'!$B$38)-MIN(E86,E$69*'03 Assumptions'!$B$37*'03 Assumptions'!$B$38))-(E80-MIN(E80,E$69*'03 Assumptions'!$B$36*'03 Assumptions'!$B$38))))</f>
        <v/>
      </c>
    </row>
    <row r="88">
      <c r="A88" s="8" t="inlineStr">
        <is>
          <t>TLB-USD end 2031</t>
        </is>
      </c>
      <c r="C88" s="64">
        <f>C87-MIN(C87,C$69*'03 Assumptions'!$B$37*'03 Assumptions'!$B$38)-MIN(C87-MIN(C87,C$69*'03 Assumptions'!$B$37*'03 Assumptions'!$B$38),MAX(0,MAX(0,C76-MIN(C81,C$69*'03 Assumptions'!$B$36*'03 Assumptions'!$B$38)-MIN(C87,C$69*'03 Assumptions'!$B$37*'03 Assumptions'!$B$38))-(C81-MIN(C81,C$69*'03 Assumptions'!$B$36*'03 Assumptions'!$B$38))))</f>
        <v/>
      </c>
      <c r="D88" s="64">
        <f>D87-MIN(D87,D$69*'03 Assumptions'!$B$37*'03 Assumptions'!$B$38)-MIN(D87-MIN(D87,D$69*'03 Assumptions'!$B$37*'03 Assumptions'!$B$38),MAX(0,MAX(0,D76-MIN(D81,D$69*'03 Assumptions'!$B$36*'03 Assumptions'!$B$38)-MIN(D87,D$69*'03 Assumptions'!$B$37*'03 Assumptions'!$B$38))-(D81-MIN(D81,D$69*'03 Assumptions'!$B$36*'03 Assumptions'!$B$38))))</f>
        <v/>
      </c>
      <c r="E88" s="64">
        <f>E87-MIN(E87,E$69*'03 Assumptions'!$B$37*'03 Assumptions'!$B$38)-MIN(E87-MIN(E87,E$69*'03 Assumptions'!$B$37*'03 Assumptions'!$B$38),MAX(0,MAX(0,E76-MIN(E81,E$69*'03 Assumptions'!$B$36*'03 Assumptions'!$B$38)-MIN(E87,E$69*'03 Assumptions'!$B$37*'03 Assumptions'!$B$38))-(E81-MIN(E81,E$69*'03 Assumptions'!$B$36*'03 Assumptions'!$B$38))))</f>
        <v/>
      </c>
    </row>
    <row r="90">
      <c r="A90" s="8" t="inlineStr">
        <is>
          <t>Excess cash end 2027</t>
        </is>
      </c>
      <c r="C90" s="64">
        <f>0+MAX(0,MAX(0,C72-MIN(C$69*'03 Assumptions'!$B$36,C$69*'03 Assumptions'!$B$36*'03 Assumptions'!$B$38)-MIN(C$69*'03 Assumptions'!$B$37,C$69*'03 Assumptions'!$B$37*'03 Assumptions'!$B$38))-(C$69*'03 Assumptions'!$B$36-MIN(C$69*'03 Assumptions'!$B$36,C$69*'03 Assumptions'!$B$36*'03 Assumptions'!$B$38))-(C$69*'03 Assumptions'!$B$37-MIN(C$69*'03 Assumptions'!$B$37,C$69*'03 Assumptions'!$B$37*'03 Assumptions'!$B$38)))</f>
        <v/>
      </c>
      <c r="D90" s="64">
        <f>0+MAX(0,MAX(0,D72-MIN(D$69*'03 Assumptions'!$B$36,D$69*'03 Assumptions'!$B$36*'03 Assumptions'!$B$38)-MIN(D$69*'03 Assumptions'!$B$37,D$69*'03 Assumptions'!$B$37*'03 Assumptions'!$B$38))-(D$69*'03 Assumptions'!$B$36-MIN(D$69*'03 Assumptions'!$B$36,D$69*'03 Assumptions'!$B$36*'03 Assumptions'!$B$38))-(D$69*'03 Assumptions'!$B$37-MIN(D$69*'03 Assumptions'!$B$37,D$69*'03 Assumptions'!$B$37*'03 Assumptions'!$B$38)))</f>
        <v/>
      </c>
      <c r="E90" s="64">
        <f>0+MAX(0,MAX(0,E72-MIN(E$69*'03 Assumptions'!$B$36,E$69*'03 Assumptions'!$B$36*'03 Assumptions'!$B$38)-MIN(E$69*'03 Assumptions'!$B$37,E$69*'03 Assumptions'!$B$37*'03 Assumptions'!$B$38))-(E$69*'03 Assumptions'!$B$36-MIN(E$69*'03 Assumptions'!$B$36,E$69*'03 Assumptions'!$B$36*'03 Assumptions'!$B$38))-(E$69*'03 Assumptions'!$B$37-MIN(E$69*'03 Assumptions'!$B$37,E$69*'03 Assumptions'!$B$37*'03 Assumptions'!$B$38)))</f>
        <v/>
      </c>
    </row>
    <row r="91">
      <c r="A91" s="8" t="inlineStr">
        <is>
          <t>Excess cash end 2028</t>
        </is>
      </c>
      <c r="C91" s="64">
        <f>C90+MAX(0,MAX(0,C73-MIN(C78,C$69*'03 Assumptions'!$B$36*'03 Assumptions'!$B$38)-MIN(C84,C$69*'03 Assumptions'!$B$37*'03 Assumptions'!$B$38))-(C78-MIN(C78,C$69*'03 Assumptions'!$B$36*'03 Assumptions'!$B$38))-(C84-MIN(C84,C$69*'03 Assumptions'!$B$37*'03 Assumptions'!$B$38)))</f>
        <v/>
      </c>
      <c r="D91" s="64">
        <f>D90+MAX(0,MAX(0,D73-MIN(D78,D$69*'03 Assumptions'!$B$36*'03 Assumptions'!$B$38)-MIN(D84,D$69*'03 Assumptions'!$B$37*'03 Assumptions'!$B$38))-(D78-MIN(D78,D$69*'03 Assumptions'!$B$36*'03 Assumptions'!$B$38))-(D84-MIN(D84,D$69*'03 Assumptions'!$B$37*'03 Assumptions'!$B$38)))</f>
        <v/>
      </c>
      <c r="E91" s="64">
        <f>E90+MAX(0,MAX(0,E73-MIN(E78,E$69*'03 Assumptions'!$B$36*'03 Assumptions'!$B$38)-MIN(E84,E$69*'03 Assumptions'!$B$37*'03 Assumptions'!$B$38))-(E78-MIN(E78,E$69*'03 Assumptions'!$B$36*'03 Assumptions'!$B$38))-(E84-MIN(E84,E$69*'03 Assumptions'!$B$37*'03 Assumptions'!$B$38)))</f>
        <v/>
      </c>
    </row>
    <row r="92">
      <c r="A92" s="8" t="inlineStr">
        <is>
          <t>Excess cash end 2029</t>
        </is>
      </c>
      <c r="C92" s="64">
        <f>C91+MAX(0,MAX(0,C74-MIN(C79,C$69*'03 Assumptions'!$B$36*'03 Assumptions'!$B$38)-MIN(C85,C$69*'03 Assumptions'!$B$37*'03 Assumptions'!$B$38))-(C79-MIN(C79,C$69*'03 Assumptions'!$B$36*'03 Assumptions'!$B$38))-(C85-MIN(C85,C$69*'03 Assumptions'!$B$37*'03 Assumptions'!$B$38)))</f>
        <v/>
      </c>
      <c r="D92" s="64">
        <f>D91+MAX(0,MAX(0,D74-MIN(D79,D$69*'03 Assumptions'!$B$36*'03 Assumptions'!$B$38)-MIN(D85,D$69*'03 Assumptions'!$B$37*'03 Assumptions'!$B$38))-(D79-MIN(D79,D$69*'03 Assumptions'!$B$36*'03 Assumptions'!$B$38))-(D85-MIN(D85,D$69*'03 Assumptions'!$B$37*'03 Assumptions'!$B$38)))</f>
        <v/>
      </c>
      <c r="E92" s="64">
        <f>E91+MAX(0,MAX(0,E74-MIN(E79,E$69*'03 Assumptions'!$B$36*'03 Assumptions'!$B$38)-MIN(E85,E$69*'03 Assumptions'!$B$37*'03 Assumptions'!$B$38))-(E79-MIN(E79,E$69*'03 Assumptions'!$B$36*'03 Assumptions'!$B$38))-(E85-MIN(E85,E$69*'03 Assumptions'!$B$37*'03 Assumptions'!$B$38)))</f>
        <v/>
      </c>
    </row>
    <row r="93">
      <c r="A93" s="8" t="inlineStr">
        <is>
          <t>Excess cash end 2030</t>
        </is>
      </c>
      <c r="C93" s="64">
        <f>C92+MAX(0,MAX(0,C75-MIN(C80,C$69*'03 Assumptions'!$B$36*'03 Assumptions'!$B$38)-MIN(C86,C$69*'03 Assumptions'!$B$37*'03 Assumptions'!$B$38))-(C80-MIN(C80,C$69*'03 Assumptions'!$B$36*'03 Assumptions'!$B$38))-(C86-MIN(C86,C$69*'03 Assumptions'!$B$37*'03 Assumptions'!$B$38)))</f>
        <v/>
      </c>
      <c r="D93" s="64">
        <f>D92+MAX(0,MAX(0,D75-MIN(D80,D$69*'03 Assumptions'!$B$36*'03 Assumptions'!$B$38)-MIN(D86,D$69*'03 Assumptions'!$B$37*'03 Assumptions'!$B$38))-(D80-MIN(D80,D$69*'03 Assumptions'!$B$36*'03 Assumptions'!$B$38))-(D86-MIN(D86,D$69*'03 Assumptions'!$B$37*'03 Assumptions'!$B$38)))</f>
        <v/>
      </c>
      <c r="E93" s="64">
        <f>E92+MAX(0,MAX(0,E75-MIN(E80,E$69*'03 Assumptions'!$B$36*'03 Assumptions'!$B$38)-MIN(E86,E$69*'03 Assumptions'!$B$37*'03 Assumptions'!$B$38))-(E80-MIN(E80,E$69*'03 Assumptions'!$B$36*'03 Assumptions'!$B$38))-(E86-MIN(E86,E$69*'03 Assumptions'!$B$37*'03 Assumptions'!$B$38)))</f>
        <v/>
      </c>
    </row>
    <row r="94">
      <c r="A94" s="8" t="inlineStr">
        <is>
          <t>Excess cash end 2031</t>
        </is>
      </c>
      <c r="C94" s="64">
        <f>C93+MAX(0,MAX(0,C76-MIN(C81,C$69*'03 Assumptions'!$B$36*'03 Assumptions'!$B$38)-MIN(C87,C$69*'03 Assumptions'!$B$37*'03 Assumptions'!$B$38))-(C81-MIN(C81,C$69*'03 Assumptions'!$B$36*'03 Assumptions'!$B$38))-(C87-MIN(C87,C$69*'03 Assumptions'!$B$37*'03 Assumptions'!$B$38)))</f>
        <v/>
      </c>
      <c r="D94" s="64">
        <f>D93+MAX(0,MAX(0,D76-MIN(D81,D$69*'03 Assumptions'!$B$36*'03 Assumptions'!$B$38)-MIN(D87,D$69*'03 Assumptions'!$B$37*'03 Assumptions'!$B$38))-(D81-MIN(D81,D$69*'03 Assumptions'!$B$36*'03 Assumptions'!$B$38))-(D87-MIN(D87,D$69*'03 Assumptions'!$B$37*'03 Assumptions'!$B$38)))</f>
        <v/>
      </c>
      <c r="E94" s="64">
        <f>E93+MAX(0,MAX(0,E76-MIN(E81,E$69*'03 Assumptions'!$B$36*'03 Assumptions'!$B$38)-MIN(E87,E$69*'03 Assumptions'!$B$37*'03 Assumptions'!$B$38))-(E81-MIN(E81,E$69*'03 Assumptions'!$B$36*'03 Assumptions'!$B$38))-(E87-MIN(E87,E$69*'03 Assumptions'!$B$37*'03 Assumptions'!$B$38)))</f>
        <v/>
      </c>
    </row>
    <row r="97">
      <c r="A97" s="3" t="inlineStr">
        <is>
          <t>GRID 3 - Entry leverage (rows) x exit multiple (cols) - IRR at 2031 exit, EXACT</t>
        </is>
      </c>
    </row>
    <row r="98">
      <c r="C98" s="57" t="n">
        <v>10</v>
      </c>
      <c r="D98" s="57" t="n">
        <v>11.5</v>
      </c>
      <c r="E98" s="57" t="n">
        <v>12.9</v>
      </c>
    </row>
    <row r="99">
      <c r="B99" s="67">
        <f>C68</f>
        <v/>
      </c>
      <c r="C99" s="58">
        <f>((C$98*'09 Operating Model'!$K$18-(C82+C88+C$69*(1-'03 Assumptions'!$B$36-'03 Assumptions'!$B$37)-C94-'03 Assumptions'!$B$44))/C$70)^(1/5)-1</f>
        <v/>
      </c>
      <c r="D99" s="58">
        <f>((D$98*'09 Operating Model'!$K$18-(C82+C88+C$69*(1-'03 Assumptions'!$B$36-'03 Assumptions'!$B$37)-C94-'03 Assumptions'!$B$44))/C$70)^(1/5)-1</f>
        <v/>
      </c>
      <c r="E99" s="58">
        <f>((E$98*'09 Operating Model'!$K$18-(C82+C88+C$69*(1-'03 Assumptions'!$B$36-'03 Assumptions'!$B$37)-C94-'03 Assumptions'!$B$44))/C$70)^(1/5)-1</f>
        <v/>
      </c>
    </row>
    <row r="100">
      <c r="B100" s="67">
        <f>D68</f>
        <v/>
      </c>
      <c r="C100" s="58">
        <f>((C$98*'09 Operating Model'!$K$18-(D82+D88+D$69*(1-'03 Assumptions'!$B$36-'03 Assumptions'!$B$37)-D94-'03 Assumptions'!$B$44))/D$70)^(1/5)-1</f>
        <v/>
      </c>
      <c r="D100" s="58">
        <f>((D$98*'09 Operating Model'!$K$18-(D82+D88+D$69*(1-'03 Assumptions'!$B$36-'03 Assumptions'!$B$37)-D94-'03 Assumptions'!$B$44))/D$70)^(1/5)-1</f>
        <v/>
      </c>
      <c r="E100" s="58">
        <f>((E$98*'09 Operating Model'!$K$18-(D82+D88+D$69*(1-'03 Assumptions'!$B$36-'03 Assumptions'!$B$37)-D94-'03 Assumptions'!$B$44))/D$70)^(1/5)-1</f>
        <v/>
      </c>
    </row>
    <row r="101">
      <c r="B101" s="67">
        <f>E68</f>
        <v/>
      </c>
      <c r="C101" s="58">
        <f>((C$98*'09 Operating Model'!$K$18-(E82+E88+E$69*(1-'03 Assumptions'!$B$36-'03 Assumptions'!$B$37)-E94-'03 Assumptions'!$B$44))/E$70)^(1/5)-1</f>
        <v/>
      </c>
      <c r="D101" s="58">
        <f>((D$98*'09 Operating Model'!$K$18-(E82+E88+E$69*(1-'03 Assumptions'!$B$36-'03 Assumptions'!$B$37)-E94-'03 Assumptions'!$B$44))/E$70)^(1/5)-1</f>
        <v/>
      </c>
      <c r="E101" s="58">
        <f>((E$98*'09 Operating Model'!$K$18-(E82+E88+E$69*(1-'03 Assumptions'!$B$36-'03 Assumptions'!$B$37)-E94-'03 Assumptions'!$B$44))/E$70)^(1/5)-1</f>
        <v/>
      </c>
    </row>
    <row r="103">
      <c r="A103" s="8" t="inlineStr">
        <is>
          <t>Engine B equity = base uses ex-OID + 2.5% OID on case debt - case debt. Advisory fee (1.25% EV) is debt-independent.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0" workbookViewId="0">
      <selection activeCell="A1" sqref="A1"/>
    </sheetView>
  </sheetViews>
  <sheetFormatPr baseColWidth="8" defaultColWidth="9" defaultRowHeight="16.8"/>
  <cols>
    <col width="46" customWidth="1" min="1" max="1"/>
    <col width="12" customWidth="1" min="2" max="15"/>
  </cols>
  <sheetData>
    <row r="1" ht="17.6" customHeight="1">
      <c r="A1" s="1" t="inlineStr">
        <is>
          <t>CHARTS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3" t="inlineStr">
        <is>
          <t>Chart data (live)</t>
        </is>
      </c>
    </row>
    <row r="4">
      <c r="A4" s="8" t="inlineStr">
        <is>
          <t>Year</t>
        </is>
      </c>
      <c r="B4" s="63" t="n">
        <v>2027</v>
      </c>
      <c r="C4" s="63" t="n">
        <v>2028</v>
      </c>
      <c r="D4" s="63" t="n">
        <v>2029</v>
      </c>
      <c r="E4" s="63" t="n">
        <v>2030</v>
      </c>
      <c r="F4" s="63" t="n">
        <v>2031</v>
      </c>
    </row>
    <row r="5">
      <c r="A5" s="8" t="inlineStr">
        <is>
          <t>EBITDA</t>
        </is>
      </c>
      <c r="B5" s="43">
        <f>'09 Operating Model'!G18</f>
        <v/>
      </c>
      <c r="C5" s="43">
        <f>'09 Operating Model'!H18</f>
        <v/>
      </c>
      <c r="D5" s="43">
        <f>'09 Operating Model'!I18</f>
        <v/>
      </c>
      <c r="E5" s="43">
        <f>'09 Operating Model'!J18</f>
        <v/>
      </c>
      <c r="F5" s="43">
        <f>'09 Operating Model'!K18</f>
        <v/>
      </c>
    </row>
    <row r="6">
      <c r="A6" s="8" t="inlineStr">
        <is>
          <t>Net debt</t>
        </is>
      </c>
      <c r="B6" s="43">
        <f>'08 Debt Schedule'!G19</f>
        <v/>
      </c>
      <c r="C6" s="43">
        <f>'08 Debt Schedule'!H19</f>
        <v/>
      </c>
      <c r="D6" s="43">
        <f>'08 Debt Schedule'!I19</f>
        <v/>
      </c>
      <c r="E6" s="43">
        <f>'08 Debt Schedule'!J19</f>
        <v/>
      </c>
      <c r="F6" s="43">
        <f>'08 Debt Schedule'!K19</f>
        <v/>
      </c>
    </row>
    <row r="7">
      <c r="A7" s="8" t="inlineStr">
        <is>
          <t>Leverage</t>
        </is>
      </c>
      <c r="B7" s="67">
        <f>'08 Debt Schedule'!G36</f>
        <v/>
      </c>
      <c r="C7" s="67">
        <f>'08 Debt Schedule'!H36</f>
        <v/>
      </c>
      <c r="D7" s="67">
        <f>'08 Debt Schedule'!I36</f>
        <v/>
      </c>
      <c r="E7" s="67">
        <f>'08 Debt Schedule'!J36</f>
        <v/>
      </c>
      <c r="F7" s="67">
        <f>'08 Debt Schedule'!K36</f>
        <v/>
      </c>
    </row>
    <row r="9">
      <c r="A9" s="3" t="inlineStr">
        <is>
          <t>MOIC bridge data</t>
        </is>
      </c>
    </row>
    <row r="10">
      <c r="A10" s="8" t="inlineStr">
        <is>
          <t>Entry</t>
        </is>
      </c>
      <c r="B10" s="67">
        <f>'10 Returns'!B15</f>
        <v/>
      </c>
    </row>
    <row r="11">
      <c r="A11" s="8" t="inlineStr">
        <is>
          <t>EBITDA growth</t>
        </is>
      </c>
      <c r="B11" s="67">
        <f>'10 Returns'!B16</f>
        <v/>
      </c>
    </row>
    <row r="12">
      <c r="A12" s="8" t="inlineStr">
        <is>
          <t>Multiple</t>
        </is>
      </c>
      <c r="B12" s="67">
        <f>'10 Returns'!B17</f>
        <v/>
      </c>
    </row>
    <row r="13">
      <c r="A13" s="8" t="inlineStr">
        <is>
          <t>Deleveraging</t>
        </is>
      </c>
      <c r="B13" s="67">
        <f>'10 Returns'!B18</f>
        <v/>
      </c>
    </row>
    <row r="14">
      <c r="A14" s="8" t="inlineStr">
        <is>
          <t>Fees/resid</t>
        </is>
      </c>
      <c r="B14" s="67">
        <f>'10 Returns'!B19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selection activeCell="A1" sqref="A1"/>
    </sheetView>
  </sheetViews>
  <sheetFormatPr baseColWidth="8" defaultColWidth="9" defaultRowHeight="16.8"/>
  <cols>
    <col width="46" customWidth="1" min="1" max="1"/>
    <col width="12" customWidth="1" min="2" max="15"/>
  </cols>
  <sheetData>
    <row r="1" ht="17.6" customHeight="1">
      <c r="A1" s="1" t="inlineStr">
        <is>
          <t>DASHBOARD + COMPARISON vs ACTUAL TRANSACTION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3" t="inlineStr">
        <is>
          <t>KEY OUTPUTS (active scenario)</t>
        </is>
      </c>
    </row>
    <row r="4">
      <c r="A4" s="4" t="inlineStr">
        <is>
          <t>IRR (5-yr, 2031 exit)</t>
        </is>
      </c>
      <c r="B4" s="44">
        <f>'10 Returns'!B11</f>
        <v/>
      </c>
    </row>
    <row r="5">
      <c r="A5" s="4" t="inlineStr">
        <is>
          <t>MOIC</t>
        </is>
      </c>
      <c r="B5" s="45">
        <f>'10 Returns'!B9</f>
        <v/>
      </c>
    </row>
    <row r="6">
      <c r="A6" s="4" t="inlineStr">
        <is>
          <t>Entry EV / FY25A EBITDA</t>
        </is>
      </c>
      <c r="B6" s="45">
        <f>'07 Purchase Price'!B8</f>
        <v/>
      </c>
    </row>
    <row r="7">
      <c r="A7" s="4" t="inlineStr">
        <is>
          <t>Entry leverage</t>
        </is>
      </c>
      <c r="B7" s="45">
        <f>'03 Assumptions'!F10</f>
        <v/>
      </c>
    </row>
    <row r="8">
      <c r="A8" s="4" t="inlineStr">
        <is>
          <t>Sponsor equity (€m)</t>
        </is>
      </c>
      <c r="B8" s="60">
        <f>'06 Sources &amp; Uses'!B18</f>
        <v/>
      </c>
    </row>
    <row r="9">
      <c r="A9" s="4" t="inlineStr">
        <is>
          <t>Total debt (€m)</t>
        </is>
      </c>
      <c r="B9" s="60">
        <f>'06 Sources &amp; Uses'!B13</f>
        <v/>
      </c>
    </row>
    <row r="10">
      <c r="A10" s="4" t="inlineStr">
        <is>
          <t>Net debt at exit (€m)</t>
        </is>
      </c>
      <c r="B10" s="60">
        <f>'08 Debt Schedule'!K19</f>
        <v/>
      </c>
    </row>
    <row r="11">
      <c r="A11" s="4" t="inlineStr">
        <is>
          <t>Debt paydown over hold (EUR m)</t>
        </is>
      </c>
      <c r="B11" s="60">
        <f>'06 Sources &amp; Uses'!B13-'08 Debt Schedule'!K17</f>
        <v/>
      </c>
    </row>
    <row r="12">
      <c r="A12" s="4" t="inlineStr">
        <is>
          <t>Exit EBITDA (EUR m, incl. BD)</t>
        </is>
      </c>
      <c r="B12" s="60">
        <f>'09 Operating Model'!K18</f>
        <v/>
      </c>
    </row>
    <row r="13">
      <c r="A13" s="4" t="inlineStr">
        <is>
          <t>Year-1 interest coverage</t>
        </is>
      </c>
      <c r="B13" s="45">
        <f>'08 Debt Schedule'!G37</f>
        <v/>
      </c>
    </row>
    <row r="16">
      <c r="A16" s="3" t="inlineStr">
        <is>
          <t>INDEPENDENT MODEL vs ACTUAL ANNOUNCED DEAL</t>
        </is>
      </c>
    </row>
    <row r="17">
      <c r="A17" s="3" t="inlineStr">
        <is>
          <t>Metric</t>
        </is>
      </c>
      <c r="B17" s="3" t="inlineStr">
        <is>
          <t>Our base</t>
        </is>
      </c>
      <c r="C17" s="3" t="inlineStr">
        <is>
          <t>Actual deal</t>
        </is>
      </c>
      <c r="D17" s="3" t="inlineStr">
        <is>
          <t>Comment</t>
        </is>
      </c>
    </row>
    <row r="18">
      <c r="A18" s="8" t="inlineStr">
        <is>
          <t>Entry EV/EBITDA</t>
        </is>
      </c>
      <c r="B18" s="67">
        <f>'07 Purchase Price'!B8</f>
        <v/>
      </c>
      <c r="C18" s="8" t="inlineStr">
        <is>
          <t>12.9x</t>
        </is>
      </c>
      <c r="D18" s="8" t="inlineStr">
        <is>
          <t>Identical — price is a deal fact; we underwrite at it</t>
        </is>
      </c>
    </row>
    <row r="19">
      <c r="A19" s="8" t="inlineStr">
        <is>
          <t>Premium</t>
        </is>
      </c>
      <c r="B19" s="8" t="inlineStr">
        <is>
          <t>—</t>
        </is>
      </c>
      <c r="C19" s="8" t="inlineStr">
        <is>
          <t>12.89%</t>
        </is>
      </c>
      <c r="D19" s="8" t="inlineStr">
        <is>
          <t>Low vs Italian norms (20-30%): Rossini 46.82% pre-committed</t>
        </is>
      </c>
    </row>
    <row r="20">
      <c r="A20" s="8" t="inlineStr">
        <is>
          <t>Debt quantum</t>
        </is>
      </c>
      <c r="B20" s="43">
        <f>'06 Sources &amp; Uses'!B13</f>
        <v/>
      </c>
      <c r="C20" s="8" t="inlineStr">
        <is>
          <t>€5.5-6.0bn sought</t>
        </is>
      </c>
      <c r="D20" s="8" t="inlineStr">
        <is>
          <t>Our 5.5x = €5.45bn sits at bottom of actual range</t>
        </is>
      </c>
    </row>
    <row r="21">
      <c r="A21" s="8" t="inlineStr">
        <is>
          <t>Blended debt cost</t>
        </is>
      </c>
      <c r="B21" s="8" t="inlineStr">
        <is>
          <t>~6.3%</t>
        </is>
      </c>
      <c r="C21" s="8" t="inlineStr">
        <is>
          <t>TBD (offer doc)</t>
        </is>
      </c>
      <c r="D21" s="8" t="inlineStr">
        <is>
          <t>E+375 TLB / 6.75% SSN assumptions</t>
        </is>
      </c>
    </row>
    <row r="22">
      <c r="A22" s="8" t="inlineStr">
        <is>
          <t>Equity cheque</t>
        </is>
      </c>
      <c r="B22" s="43">
        <f>'06 Sources &amp; Uses'!B18</f>
        <v/>
      </c>
      <c r="C22" s="8" t="inlineStr">
        <is>
          <t>~€7.5bn+ (club)</t>
        </is>
      </c>
      <c r="D22" s="8" t="inlineStr">
        <is>
          <t>GBL ≤€1.3bn + CVC IX + ADIA/CPPIB/PSP et al.</t>
        </is>
      </c>
    </row>
    <row r="23">
      <c r="A23" s="8" t="inlineStr">
        <is>
          <t>Exit assumption</t>
        </is>
      </c>
      <c r="B23" s="8" t="inlineStr">
        <is>
          <t>11.5x (below entry)</t>
        </is>
      </c>
      <c r="C23" s="8" t="inlineStr">
        <is>
          <t>n/a (private)</t>
        </is>
      </c>
      <c r="D23" s="8" t="inlineStr">
        <is>
          <t>We refuse multiple expansion; Rossini precedent = 0 expansion</t>
        </is>
      </c>
    </row>
    <row r="24">
      <c r="A24" s="8" t="inlineStr">
        <is>
          <t>BD/M&amp;A in base</t>
        </is>
      </c>
      <c r="B24" s="8" t="inlineStr">
        <is>
          <t>EUR 400m/yr @ 9.0x (funded pre-sweep)</t>
        </is>
      </c>
      <c r="C24" s="8" t="inlineStr">
        <is>
          <t>Core to thesis</t>
        </is>
      </c>
      <c r="D24" s="8" t="inlineStr">
        <is>
          <t>Their 20%+ case needs the bolt-on machine — our bull case</t>
        </is>
      </c>
    </row>
    <row r="26">
      <c r="A26" s="3" t="inlineStr">
        <is>
          <t>WHAT MUST CHANGE FOR OUR MODEL TO CONVERGE TO CVC/GBL's ACCEPTED ECONOMICS:</t>
        </is>
      </c>
    </row>
    <row r="27">
      <c r="A27" s="8" t="inlineStr">
        <is>
          <t>v3 BASE funds BD (EUR 400m/yr 2027-2030 at 9x; 2031 exit-year spend removed). No-BD conservative floor via F13=0.</t>
        </is>
      </c>
    </row>
    <row r="28">
      <c r="A28" s="8" t="inlineStr">
        <is>
          <t>1. Exit at entry-flat 12.9x instead of 11.5x: ~+2.9pt IRR (the dominant lever). ~2.0-2.5pt per turn.</t>
        </is>
      </c>
    </row>
    <row r="29">
      <c r="A29" s="8" t="inlineStr">
        <is>
          <t>2. Fund BD redeployment (€500m/yr at 8-10x): converts SPC cash into RD growth — our bull case, their base case.</t>
        </is>
      </c>
    </row>
    <row r="30">
      <c r="A30" s="8" t="inlineStr">
        <is>
          <t>3. Accept 6.0x opening leverage (top of their range): ~+1pt IRR if coverage holds.</t>
        </is>
      </c>
    </row>
    <row r="31">
      <c r="A31" s="8" t="inlineStr">
        <is>
          <t>4. Underwrite Isturisa to raised &gt;€1.2bn peak (we hold RD fade): adds 2-3pts EBITDA CAGR.</t>
        </is>
      </c>
    </row>
    <row r="32">
      <c r="A32" s="8" t="inlineStr">
        <is>
          <t>BD VALUE-CREATION DECOMPOSITION (v3): no-BD floor ~15% IRR; + funding BD 400m/yr ~0 to -0.1pt (arbitrage offset by interest drag);</t>
        </is>
      </c>
    </row>
    <row r="33">
      <c r="A33" s="8" t="inlineStr">
        <is>
          <t>+ exit at entry-flat 12.9x = +2.9pt. The exit multiple is ~100% of the sponsor-consistent case; BD is a near-wash on IRR (it grows MOIC dollars, not the rate).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2026-07-17T12:07:00Z</dcterms:created>
  <dcterms:modified xsi:type="dcterms:W3CDTF">2026-07-18T03:58:22Z</dcterms:modified>
  <cp:lastModifiedBy>Tanmay Gambhir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7A429B58B0E89D1DAFF85A6AB88AA999_42</vt:lpwstr>
  </property>
  <property name="KSOProductBuildVer" fmtid="{D5CDD505-2E9C-101B-9397-08002B2CF9AE}" pid="3">
    <vt:lpwstr>1033-12.1.26035.26035</vt:lpwstr>
  </property>
  <property name="CalculationRule" fmtid="{D5CDD505-2E9C-101B-9397-08002B2CF9AE}" pid="4">
    <vt:i4>0</vt:i4>
  </property>
</Properties>
</file>
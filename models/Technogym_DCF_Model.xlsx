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Executive Summary" sheetId="1" state="visible" r:id="rId1"/>
    <sheet name="01 Cover" sheetId="2" state="visible" r:id="rId2"/>
    <sheet name="02 Sources" sheetId="3" state="visible" r:id="rId3"/>
    <sheet name="03 Assumptions" sheetId="4" state="visible" r:id="rId4"/>
    <sheet name="04 Historical Financials" sheetId="5" state="visible" r:id="rId5"/>
    <sheet name="05 Revenue Build" sheetId="6" state="visible" r:id="rId6"/>
    <sheet name="06 Operating Model" sheetId="7" state="visible" r:id="rId7"/>
    <sheet name="07 Working Capital" sheetId="8" state="visible" r:id="rId8"/>
    <sheet name="08 Capex &amp; Depreciation" sheetId="9" state="visible" r:id="rId9"/>
    <sheet name="09 Free Cash Flow" sheetId="10" state="visible" r:id="rId10"/>
    <sheet name="10 WACC" sheetId="11" state="visible" r:id="rId11"/>
    <sheet name="11 DCF Valuation" sheetId="12" state="visible" r:id="rId12"/>
    <sheet name="12 Sensitivity Analysis" sheetId="13" state="visible" r:id="rId13"/>
    <sheet name="13 Scenarios" sheetId="14" state="visible" r:id="rId14"/>
    <sheet name="14 Charts &amp; Dashboar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-"/>
    <numFmt numFmtId="165" formatCode="0.0%"/>
    <numFmt numFmtId="166" formatCode="#,##0.0;(#,##0.0);-"/>
    <numFmt numFmtId="167" formatCode="0.0x"/>
    <numFmt numFmtId="168" formatCode="0.000"/>
  </numFmts>
  <fonts count="1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color rgb="00008000"/>
      <sz val="10"/>
    </font>
    <font>
      <name val="Arial"/>
      <color rgb="000000FF"/>
      <sz val="10"/>
    </font>
    <font>
      <name val="Arial"/>
      <b val="1"/>
      <color rgb="00FF0000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sz val="10"/>
    </font>
    <font>
      <b val="1"/>
    </font>
    <font>
      <color rgb="000000FF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0" pivotButton="0" quotePrefix="0" xfId="0"/>
    <xf numFmtId="0" fontId="6" fillId="0" borderId="0" pivotButton="0" quotePrefix="0" xfId="0"/>
    <xf numFmtId="165" fontId="5" fillId="0" borderId="0" pivotButton="0" quotePrefix="0" xfId="0"/>
    <xf numFmtId="165" fontId="7" fillId="2" borderId="0" pivotButton="0" quotePrefix="0" xfId="0"/>
    <xf numFmtId="166" fontId="5" fillId="0" borderId="0" pivotButton="0" quotePrefix="0" xfId="0"/>
    <xf numFmtId="166" fontId="7" fillId="2" borderId="0" pivotButton="0" quotePrefix="0" xfId="0"/>
    <xf numFmtId="167" fontId="5" fillId="0" borderId="0" pivotButton="0" quotePrefix="0" xfId="0"/>
    <xf numFmtId="167" fontId="7" fillId="2" borderId="0" pivotButton="0" quotePrefix="0" xfId="0"/>
    <xf numFmtId="4" fontId="5" fillId="0" borderId="0" pivotButton="0" quotePrefix="0" xfId="0"/>
    <xf numFmtId="164" fontId="5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4" fontId="7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7" fontId="7" fillId="0" borderId="0" pivotButton="0" quotePrefix="0" xfId="0"/>
    <xf numFmtId="168" fontId="7" fillId="0" borderId="0" pivotButton="0" quotePrefix="0" xfId="0"/>
    <xf numFmtId="167" fontId="4" fillId="0" borderId="0" pivotButton="0" quotePrefix="0" xfId="0"/>
    <xf numFmtId="4" fontId="7" fillId="2" borderId="0" pivotButton="0" quotePrefix="0" xfId="0"/>
    <xf numFmtId="4" fontId="4" fillId="0" borderId="0" pivotButton="0" quotePrefix="0" xfId="0"/>
    <xf numFmtId="4" fontId="7" fillId="0" borderId="0" pivotButton="0" quotePrefix="0" xfId="0"/>
    <xf numFmtId="0" fontId="8" fillId="3" borderId="0" pivotButton="0" quotePrefix="0" xfId="0"/>
    <xf numFmtId="0" fontId="0" fillId="3" borderId="0" pivotButton="0" quotePrefix="0" xfId="0"/>
    <xf numFmtId="0" fontId="9" fillId="0" borderId="0" pivotButton="0" quotePrefix="0" xfId="0"/>
    <xf numFmtId="0" fontId="10" fillId="0" borderId="0" pivotButton="0" quotePrefix="0" xfId="0"/>
    <xf numFmtId="4" fontId="4" fillId="2" borderId="0" pivotButton="0" quotePrefix="0" xfId="0"/>
    <xf numFmtId="165" fontId="4" fillId="2" borderId="0" pivotButton="0" quotePrefix="0" xfId="0"/>
    <xf numFmtId="0" fontId="5" fillId="0" borderId="0" pivotButton="0" quotePrefix="0" xfId="0"/>
    <xf numFmtId="4" fontId="3" fillId="0" borderId="0" pivotButton="0" quotePrefix="0" xfId="0"/>
    <xf numFmtId="0" fontId="3" fillId="0" borderId="1" pivotButton="0" quotePrefix="0" xfId="0"/>
    <xf numFmtId="165" fontId="4" fillId="0" borderId="1" pivotButton="0" quotePrefix="0" xfId="0"/>
    <xf numFmtId="167" fontId="4" fillId="0" borderId="1" pivotButton="0" quotePrefix="0" xfId="0"/>
    <xf numFmtId="0" fontId="0" fillId="0" borderId="1" pivotButton="0" quotePrefix="0" xfId="0"/>
    <xf numFmtId="4" fontId="5" fillId="0" borderId="1" pivotButton="0" quotePrefix="0" xfId="0"/>
    <xf numFmtId="4" fontId="4" fillId="0" borderId="1" pivotButton="0" quotePrefix="0" xfId="0"/>
    <xf numFmtId="4" fontId="3" fillId="0" borderId="1" pivotButton="0" quotePrefix="0" xfId="0"/>
    <xf numFmtId="0" fontId="10" fillId="0" borderId="1" pivotButton="0" quotePrefix="0" xfId="0"/>
    <xf numFmtId="0" fontId="11" fillId="4" borderId="1" pivotButton="0" quotePrefix="0" xfId="0"/>
    <xf numFmtId="0" fontId="0" fillId="4" borderId="1" pivotButton="0" quotePrefix="0" xfId="0"/>
    <xf numFmtId="0" fontId="2" fillId="0" borderId="1" pivotButton="0" quotePrefix="0" xfId="0"/>
    <xf numFmtId="165" fontId="5" fillId="0" borderId="1" pivotButton="0" quotePrefix="0" xfId="0"/>
    <xf numFmtId="165" fontId="7" fillId="2" borderId="1" pivotButton="0" quotePrefix="0" xfId="0"/>
    <xf numFmtId="166" fontId="5" fillId="0" borderId="1" pivotButton="0" quotePrefix="0" xfId="0"/>
    <xf numFmtId="166" fontId="7" fillId="2" borderId="1" pivotButton="0" quotePrefix="0" xfId="0"/>
    <xf numFmtId="167" fontId="5" fillId="0" borderId="1" pivotButton="0" quotePrefix="0" xfId="0"/>
    <xf numFmtId="167" fontId="7" fillId="2" borderId="1" pivotButton="0" quotePrefix="0" xfId="0"/>
    <xf numFmtId="166" fontId="7" fillId="0" borderId="1" pivotButton="0" quotePrefix="0" xfId="0"/>
    <xf numFmtId="166" fontId="4" fillId="0" borderId="1" pivotButton="0" quotePrefix="0" xfId="0"/>
    <xf numFmtId="4" fontId="7" fillId="2" borderId="1" pivotButton="0" quotePrefix="0" xfId="0"/>
    <xf numFmtId="165" fontId="7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Football field — € per share</a:t>
            </a:r>
          </a:p>
        </rich>
      </tx>
    </title>
    <plotArea>
      <barChart>
        <barDir val="bar"/>
        <grouping val="stacked"/>
        <ser>
          <idx val="0"/>
          <order val="0"/>
          <tx>
            <v>(base)</v>
          </tx>
          <spPr>
            <a:solidFill>
              <a:srgbClr val="FFFFFF"/>
            </a:solidFill>
            <a:ln>
              <a:prstDash val="solid"/>
            </a:ln>
          </spPr>
          <cat>
            <numRef>
              <f>'00 Executive Summary'!$A$36:$A$40</f>
            </numRef>
          </cat>
          <val>
            <numRef>
              <f>'00 Executive Summary'!$B$36:$B$40</f>
            </numRef>
          </val>
        </ser>
        <ser>
          <idx val="1"/>
          <order val="1"/>
          <tx>
            <v>Range</v>
          </tx>
          <spPr>
            <a:solidFill>
              <a:srgbClr val="BF9000"/>
            </a:solidFill>
            <a:ln>
              <a:prstDash val="solid"/>
            </a:ln>
          </spPr>
          <cat>
            <numRef>
              <f>'00 Executive Summary'!$A$36:$A$40</f>
            </numRef>
          </cat>
          <val>
            <numRef>
              <f>'00 Executive Summary'!$D$36:$D$40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Adj. EBITDA margin 2021-25</a:t>
            </a:r>
          </a:p>
        </rich>
      </tx>
    </title>
    <plotArea>
      <lineChart>
        <grouping val="standard"/>
        <ser>
          <idx val="0"/>
          <order val="0"/>
          <tx>
            <v>EBITDA margin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'04 Historical Financials'!$B$25:$F$25</f>
            </numRef>
          </cat>
          <val>
            <numRef>
              <f>'04 Historical Financials'!$B$26:$F$26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segment (€m)</a:t>
            </a:r>
          </a:p>
        </rich>
      </tx>
    </title>
    <plotArea>
      <barChart>
        <barDir val="col"/>
        <grouping val="stacked"/>
        <ser>
          <idx val="0"/>
          <order val="0"/>
          <tx>
            <v>BtoB</v>
          </tx>
          <spPr>
            <a:ln>
              <a:prstDash val="solid"/>
            </a:ln>
          </spPr>
          <cat>
            <numRef>
              <f>'04 Historical Financials'!$B$29:$C$29</f>
            </numRef>
          </cat>
          <val>
            <numRef>
              <f>'04 Historical Financials'!$B$30:$C$30</f>
            </numRef>
          </val>
        </ser>
        <ser>
          <idx val="1"/>
          <order val="1"/>
          <tx>
            <v>BtoC</v>
          </tx>
          <spPr>
            <a:ln>
              <a:prstDash val="solid"/>
            </a:ln>
          </spPr>
          <cat>
            <numRef>
              <f>'04 Historical Financials'!$B$29:$C$29</f>
            </numRef>
          </cat>
          <val>
            <numRef>
              <f>'04 Historical Financials'!$B$31:$C$31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geography (€m)</a:t>
            </a:r>
          </a:p>
        </rich>
      </tx>
    </title>
    <plotArea>
      <barChart>
        <barDir val="col"/>
        <grouping val="stacked"/>
        <ser>
          <idx val="0"/>
          <order val="0"/>
          <tx>
            <v>Europe ex-IT</v>
          </tx>
          <spPr>
            <a:ln>
              <a:prstDash val="solid"/>
            </a:ln>
          </spPr>
          <cat>
            <numRef>
              <f>'04 Historical Financials'!$B$29:$C$29</f>
            </numRef>
          </cat>
          <val>
            <numRef>
              <f>'04 Historical Financials'!$B$32:$C$32</f>
            </numRef>
          </val>
        </ser>
        <ser>
          <idx val="1"/>
          <order val="1"/>
          <tx>
            <v>Americas</v>
          </tx>
          <spPr>
            <a:ln>
              <a:prstDash val="solid"/>
            </a:ln>
          </spPr>
          <cat>
            <numRef>
              <f>'04 Historical Financials'!$B$29:$C$29</f>
            </numRef>
          </cat>
          <val>
            <numRef>
              <f>'04 Historical Financials'!$B$33:$C$33</f>
            </numRef>
          </val>
        </ser>
        <ser>
          <idx val="2"/>
          <order val="2"/>
          <tx>
            <v>MEIA</v>
          </tx>
          <spPr>
            <a:ln>
              <a:prstDash val="solid"/>
            </a:ln>
          </spPr>
          <cat>
            <numRef>
              <f>'04 Historical Financials'!$B$29:$C$29</f>
            </numRef>
          </cat>
          <val>
            <numRef>
              <f>'04 Historical Financials'!$B$34:$C$34</f>
            </numRef>
          </val>
        </ser>
        <ser>
          <idx val="3"/>
          <order val="3"/>
          <tx>
            <v>APAC</v>
          </tx>
          <spPr>
            <a:ln>
              <a:prstDash val="solid"/>
            </a:ln>
          </spPr>
          <cat>
            <numRef>
              <f>'04 Historical Financials'!$B$29:$C$29</f>
            </numRef>
          </cat>
          <val>
            <numRef>
              <f>'04 Historical Financials'!$B$35:$C$35</f>
            </numRef>
          </val>
        </ser>
        <ser>
          <idx val="4"/>
          <order val="4"/>
          <tx>
            <v>Italy</v>
          </tx>
          <spPr>
            <a:ln>
              <a:prstDash val="solid"/>
            </a:ln>
          </spPr>
          <cat>
            <numRef>
              <f>'04 Historical Financials'!$B$29:$C$29</f>
            </numRef>
          </cat>
          <val>
            <numRef>
              <f>'04 Historical Financials'!$B$36:$C$36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&amp; EBITDA (€m)</a:t>
            </a:r>
          </a:p>
        </rich>
      </tx>
    </title>
    <plotArea>
      <lineChart>
        <grouping val="standard"/>
        <ser>
          <idx val="0"/>
          <order val="0"/>
          <tx>
            <v>Revenue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'14 Charts &amp; Dashboard'!$B$17:$O$17</f>
            </numRef>
          </cat>
          <val>
            <numRef>
              <f>'14 Charts &amp; Dashboard'!$B$18:$O$18</f>
            </numRef>
          </val>
        </ser>
        <ser>
          <idx val="1"/>
          <order val="1"/>
          <tx>
            <v>EBITDA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'14 Charts &amp; Dashboard'!$B$17:$O$17</f>
            </numRef>
          </cat>
          <val>
            <numRef>
              <f>'14 Charts &amp; Dashboard'!$B$19:$O$19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mix (€m)</a:t>
            </a:r>
          </a:p>
        </rich>
      </tx>
    </title>
    <plotArea>
      <barChart>
        <barDir val="col"/>
        <grouping val="stacked"/>
        <ser>
          <idx val="0"/>
          <order val="0"/>
          <tx>
            <v>BtoB</v>
          </tx>
          <spPr>
            <a:ln>
              <a:prstDash val="solid"/>
            </a:ln>
          </spPr>
          <cat>
            <numRef>
              <f>'14 Charts &amp; Dashboard'!$B$17:$O$17</f>
            </numRef>
          </cat>
          <val>
            <numRef>
              <f>'14 Charts &amp; Dashboard'!$B$21:$O$21</f>
            </numRef>
          </val>
        </ser>
        <ser>
          <idx val="1"/>
          <order val="1"/>
          <tx>
            <v>BtoC</v>
          </tx>
          <spPr>
            <a:ln>
              <a:prstDash val="solid"/>
            </a:ln>
          </spPr>
          <cat>
            <numRef>
              <f>'14 Charts &amp; Dashboard'!$B$17:$O$17</f>
            </numRef>
          </cat>
          <val>
            <numRef>
              <f>'14 Charts &amp; Dashboard'!$B$22:$O$22</f>
            </numRef>
          </val>
        </ser>
        <ser>
          <idx val="2"/>
          <order val="2"/>
          <tx>
            <v>Digital</v>
          </tx>
          <spPr>
            <a:ln>
              <a:prstDash val="solid"/>
            </a:ln>
          </spPr>
          <cat>
            <numRef>
              <f>'14 Charts &amp; Dashboard'!$B$17:$O$17</f>
            </numRef>
          </cat>
          <val>
            <numRef>
              <f>'14 Charts &amp; Dashboard'!$B$23:$O$23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FCFF (€m)</a:t>
            </a:r>
          </a:p>
        </rich>
      </tx>
    </title>
    <plotArea>
      <barChart>
        <barDir val="col"/>
        <grouping val="clustered"/>
        <ser>
          <idx val="0"/>
          <order val="0"/>
          <tx>
            <v>FCFF</v>
          </tx>
          <spPr>
            <a:ln>
              <a:prstDash val="solid"/>
            </a:ln>
          </spPr>
          <cat>
            <numRef>
              <f>'14 Charts &amp; Dashboard'!$B$17:$O$17</f>
            </numRef>
          </cat>
          <val>
            <numRef>
              <f>'14 Charts &amp; Dashboard'!$B$20:$O$20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22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37</row>
      <rowOff>0</rowOff>
    </from>
    <ext cx="46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37</row>
      <rowOff>0</rowOff>
    </from>
    <ext cx="46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36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27" t="inlineStr">
        <is>
          <t>TECHNOGYM S.p.A. (BIT: TGYM) - DCF EXECUTIVE SUMMARY | v2.0 | 17 JULY 2026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</row>
    <row r="3">
      <c r="A3" s="29" t="inlineStr">
        <is>
          <t>THE ANSWER</t>
        </is>
      </c>
    </row>
    <row r="4">
      <c r="A4" s="30" t="inlineStr">
        <is>
          <t>Base-case fair value (Gordon TV):</t>
        </is>
      </c>
      <c r="B4" s="31">
        <f>'11 DCF Valuation'!B27</f>
        <v/>
      </c>
    </row>
    <row r="5">
      <c r="A5" s="3" t="inlineStr">
        <is>
          <t>Cross-check (exit-multiple TV):</t>
        </is>
      </c>
      <c r="B5" s="25">
        <f>'11 DCF Valuation'!B31</f>
        <v/>
      </c>
    </row>
    <row r="6">
      <c r="A6" s="3" t="inlineStr">
        <is>
          <t>Current price (08-Jul-26):</t>
        </is>
      </c>
      <c r="B6" s="25">
        <f>'11 DCF Valuation'!B28</f>
        <v/>
      </c>
    </row>
    <row r="7">
      <c r="A7" s="30" t="inlineStr">
        <is>
          <t>Upside / (downside):</t>
        </is>
      </c>
      <c r="B7" s="32">
        <f>'11 DCF Valuation'!B29</f>
        <v/>
      </c>
    </row>
    <row r="8">
      <c r="A8" s="3" t="inlineStr">
        <is>
          <t>Scenario range (full model, recorded 16-Jul-26):</t>
        </is>
      </c>
      <c r="B8" s="33" t="inlineStr">
        <is>
          <t>Bear EUR 8.82</t>
        </is>
      </c>
      <c r="C8" s="33" t="inlineStr">
        <is>
          <t>Bull EUR 24.05</t>
        </is>
      </c>
      <c r="D8" s="3" t="inlineStr">
        <is>
          <t>(re-run switch on 03 Assumptions to refresh)</t>
        </is>
      </c>
    </row>
    <row r="10">
      <c r="A10" s="29" t="inlineStr">
        <is>
          <t>WHAT DRIVES THE VALUE</t>
        </is>
      </c>
    </row>
    <row r="11">
      <c r="A11" s="3" t="inlineStr">
        <is>
          <t>1. BtoB growth path (81% of revenue): base fades 9% → 2.5% by 2035; every 1pp ≈ €2.5–2.9m EBITDA at incremental margins.</t>
        </is>
      </c>
    </row>
    <row r="12">
      <c r="A12" s="3" t="inlineStr">
        <is>
          <t>2. EBITDA margin endpoint: 21.6% today → 23.5% base by 2032. Four consecutive years of expansion support it; bear case tests a stall.</t>
        </is>
      </c>
    </row>
    <row r="13">
      <c r="A13" s="3" t="inlineStr">
        <is>
          <t>3. Digital is an OPTION, not the base: est. €45m (4.4% of revenue) today, ~7% by 2035 in base. Bull case (attach 20%→40%) is what consensus prices.</t>
        </is>
      </c>
    </row>
    <row r="15">
      <c r="A15" s="29" t="inlineStr">
        <is>
          <t>KEY ASSUMPTIONS (speed-read — full detail on 03)</t>
        </is>
      </c>
    </row>
    <row r="16">
      <c r="A16" s="35" t="inlineStr">
        <is>
          <t>Revenue CAGR 2026-35</t>
        </is>
      </c>
      <c r="B16" s="36">
        <f>('05 Revenue Build'!O27/'05 Revenue Build'!E27)^(1/10)-1</f>
        <v/>
      </c>
    </row>
    <row r="17">
      <c r="A17" s="35" t="inlineStr">
        <is>
          <t>EBITDA margin endpoint</t>
        </is>
      </c>
      <c r="B17" s="36">
        <f>'03 Assumptions'!F13</f>
        <v/>
      </c>
    </row>
    <row r="18">
      <c r="A18" s="35" t="inlineStr">
        <is>
          <t>Terminal growth g</t>
        </is>
      </c>
      <c r="B18" s="36">
        <f>'03 Assumptions'!F16</f>
        <v/>
      </c>
    </row>
    <row r="19">
      <c r="A19" s="35" t="inlineStr">
        <is>
          <t>WACC</t>
        </is>
      </c>
      <c r="B19" s="36">
        <f>'10 WACC'!B15</f>
        <v/>
      </c>
    </row>
    <row r="20">
      <c r="A20" s="35" t="inlineStr">
        <is>
          <t>Exit multiple (cross-check)</t>
        </is>
      </c>
      <c r="B20" s="37">
        <f>'03 Assumptions'!F17</f>
        <v/>
      </c>
    </row>
    <row r="21">
      <c r="A21" s="35" t="inlineStr">
        <is>
          <t>Tax rate</t>
        </is>
      </c>
      <c r="B21" s="36">
        <f>'03 Assumptions'!B21</f>
        <v/>
      </c>
    </row>
    <row r="22">
      <c r="A22" s="35" t="inlineStr">
        <is>
          <t>TV % of EV</t>
        </is>
      </c>
      <c r="B22" s="36">
        <f>'11 DCF Valuation'!B32</f>
        <v/>
      </c>
    </row>
    <row r="23">
      <c r="A23" s="38" t="n"/>
      <c r="B23" s="38" t="n"/>
    </row>
    <row r="24">
      <c r="A24" s="29" t="inlineStr">
        <is>
          <t>BRIDGE TO CONSENSUS (why we differ from the Street's €19.3 avg TP)</t>
        </is>
      </c>
    </row>
    <row r="25">
      <c r="A25" s="35" t="inlineStr">
        <is>
          <t>Consensus average TP</t>
        </is>
      </c>
      <c r="B25" s="39" t="n">
        <v>19.3</v>
      </c>
    </row>
    <row r="26">
      <c r="A26" s="35" t="inlineStr">
        <is>
          <t>Our base-case DCF</t>
        </is>
      </c>
      <c r="B26" s="40">
        <f>'11 DCF Valuation'!B27</f>
        <v/>
      </c>
    </row>
    <row r="27">
      <c r="A27" s="35" t="inlineStr">
        <is>
          <t>Gap</t>
        </is>
      </c>
      <c r="B27" s="41">
        <f>B26-B25</f>
        <v/>
      </c>
    </row>
    <row r="28">
      <c r="A28" s="35" t="inlineStr">
        <is>
          <t>Attribution (analyst estimates, blue):</t>
        </is>
      </c>
      <c r="B28" s="38" t="n"/>
    </row>
    <row r="29">
      <c r="A29" s="35" t="inlineStr">
        <is>
          <t xml:space="preserve">  Margin endpoint (Street ~24.5% vs our 23.5% total)</t>
        </is>
      </c>
      <c r="B29" s="39" t="n">
        <v>-1.6</v>
      </c>
    </row>
    <row r="30">
      <c r="A30" s="35" t="inlineStr">
        <is>
          <t xml:space="preserve">  Digital ramp (Street implicitly faster / higher attach)</t>
        </is>
      </c>
      <c r="B30" s="39" t="n">
        <v>-1.2</v>
      </c>
    </row>
    <row r="31">
      <c r="A31" s="35" t="inlineStr">
        <is>
          <t xml:space="preserve">  Growth path + WACC/terminal (residual)</t>
        </is>
      </c>
      <c r="B31" s="39" t="n">
        <v>-0.78</v>
      </c>
    </row>
    <row r="32">
      <c r="A32" s="6">
        <f>IF(ABS(B29+B30+B31-B27)&lt;0.5,"CHECK OK: attribution ties to gap","CHECK: attribution does not tie")</f>
        <v/>
      </c>
    </row>
    <row r="34">
      <c r="A34" s="29" t="inlineStr">
        <is>
          <t>FOOTBALL FIELD — value per share (€)</t>
        </is>
      </c>
    </row>
    <row r="35">
      <c r="A35" s="42" t="inlineStr">
        <is>
          <t>Method</t>
        </is>
      </c>
      <c r="B35" s="42" t="inlineStr">
        <is>
          <t>Low</t>
        </is>
      </c>
      <c r="C35" s="42" t="inlineStr">
        <is>
          <t>High</t>
        </is>
      </c>
      <c r="D35" s="42" t="inlineStr">
        <is>
          <t>Range</t>
        </is>
      </c>
    </row>
    <row r="36">
      <c r="A36" s="35" t="inlineStr">
        <is>
          <t>52-week trading range</t>
        </is>
      </c>
      <c r="B36" s="39" t="n">
        <v>11</v>
      </c>
      <c r="C36" s="39" t="n">
        <v>21.82</v>
      </c>
      <c r="D36" s="41">
        <f>C36-B36</f>
        <v/>
      </c>
      <c r="E36" s="3" t="inlineStr">
        <is>
          <t>&lt;- Current EUR 15.19 and DCF base EUR 15.72 fall inside every range except the bear-scenario tail.</t>
        </is>
      </c>
    </row>
    <row r="37">
      <c r="A37" s="35" t="inlineStr">
        <is>
          <t>Comps 10.5x-14x 2026E EBITDA</t>
        </is>
      </c>
      <c r="B37" s="41">
        <f>(10.5*'06 Operating Model'!F6+'03 Assumptions'!B24)/'03 Assumptions'!B23</f>
        <v/>
      </c>
      <c r="C37" s="41">
        <f>(14*'06 Operating Model'!F6+'03 Assumptions'!B24)/'03 Assumptions'!B23</f>
        <v/>
      </c>
      <c r="D37" s="41">
        <f>C37-B37</f>
        <v/>
      </c>
    </row>
    <row r="38">
      <c r="A38" s="35" t="inlineStr">
        <is>
          <t>DCF grid (WACC 7-8.5% x g)</t>
        </is>
      </c>
      <c r="B38" s="40">
        <f>MIN('12 Sensitivity Analysis'!C6:G11)</f>
        <v/>
      </c>
      <c r="C38" s="40">
        <f>MAX('12 Sensitivity Analysis'!C6:G11)</f>
        <v/>
      </c>
      <c r="D38" s="41">
        <f>C38-B38</f>
        <v/>
      </c>
    </row>
    <row r="39">
      <c r="A39" s="35" t="inlineStr">
        <is>
          <t>DCF scenarios Bear-Bull</t>
        </is>
      </c>
      <c r="B39" s="39" t="n">
        <v>8.82</v>
      </c>
      <c r="C39" s="39" t="n">
        <v>22.42</v>
      </c>
      <c r="D39" s="41">
        <f>C39-B39</f>
        <v/>
      </c>
    </row>
    <row r="40">
      <c r="A40" s="35" t="inlineStr">
        <is>
          <t>Consensus TP range</t>
        </is>
      </c>
      <c r="B40" s="39" t="n">
        <v>16</v>
      </c>
      <c r="C40" s="39" t="n">
        <v>26.25</v>
      </c>
      <c r="D40" s="41">
        <f>C40-B40</f>
        <v/>
      </c>
    </row>
    <row r="41">
      <c r="A41" s="35" t="inlineStr">
        <is>
          <t>Current price</t>
        </is>
      </c>
      <c r="B41" s="40">
        <f>'11 DCF Valuation'!B28</f>
        <v/>
      </c>
      <c r="C41" s="38" t="n"/>
      <c r="D41" s="38" t="n"/>
    </row>
    <row r="44">
      <c r="A44" s="29" t="inlineStr">
        <is>
          <t>HOW TO USE THIS MODEL</t>
        </is>
      </c>
    </row>
    <row r="45">
      <c r="A45" s="3" t="inlineStr">
        <is>
          <t>1. Scenario switch: edit '03 Assumptions'!B3 (1=Bear, 2=Base, 3=Bull). Everything recalculates.</t>
        </is>
      </c>
    </row>
    <row r="46">
      <c r="A46" s="3" t="inlineStr">
        <is>
          <t>2. BLUE cells are editable inputs; BLACK are formulas; GREEN are cross-sheet links; RED are checks.</t>
        </is>
      </c>
    </row>
    <row r="47">
      <c r="A47" s="3" t="inlineStr">
        <is>
          <t>3. If any RED check cell reads ERROR, stop and review before trusting outputs.</t>
        </is>
      </c>
    </row>
    <row r="48">
      <c r="A48" s="3" t="inlineStr">
        <is>
          <t>4. Yellow-filled cells are the primary levers. Dashboard (14) and this page carry the headline outputs.</t>
        </is>
      </c>
    </row>
    <row r="49">
      <c r="A49" s="3" t="inlineStr">
        <is>
          <t>5. Digital revenue is an explicit L-confidence ESTIMATE (company does not disclose) — see 05 rows 14-25.</t>
        </is>
      </c>
    </row>
    <row r="51">
      <c r="A51" s="29" t="inlineStr">
        <is>
          <t>GLOSSARY</t>
        </is>
      </c>
    </row>
    <row r="52">
      <c r="A52" s="30" t="inlineStr">
        <is>
          <t>FCFF</t>
        </is>
      </c>
      <c r="B52" s="3" t="inlineStr">
        <is>
          <t>Free Cash Flow to Firm = NOPAT + D&amp;A − Capex − ΔNWC; cash available to all capital providers</t>
        </is>
      </c>
    </row>
    <row r="53">
      <c r="A53" s="30" t="inlineStr">
        <is>
          <t>NOPAT</t>
        </is>
      </c>
      <c r="B53" s="3" t="inlineStr">
        <is>
          <t>Net Operating Profit After Tax = EBIT × (1 − tax rate)</t>
        </is>
      </c>
    </row>
    <row r="54">
      <c r="A54" s="30" t="inlineStr">
        <is>
          <t>NWC</t>
        </is>
      </c>
      <c r="B54" s="3" t="inlineStr">
        <is>
          <t>Net Working Capital = Inventory + Trade Receivables − Trade Payables</t>
        </is>
      </c>
    </row>
    <row r="55">
      <c r="A55" s="30" t="inlineStr">
        <is>
          <t>WACC</t>
        </is>
      </c>
      <c r="B55" s="3" t="inlineStr">
        <is>
          <t>Weighted Average Cost of Capital — discount rate for FCFF; here ≈ cost of equity (net-cash company)</t>
        </is>
      </c>
    </row>
    <row r="56">
      <c r="A56" s="30" t="inlineStr">
        <is>
          <t>ERP / CRP</t>
        </is>
      </c>
      <c r="B56" s="3" t="inlineStr">
        <is>
          <t>Equity Risk Premium (mature market) / Country Risk Premium (sovereign-risk add-on, exposure-weighted)</t>
        </is>
      </c>
    </row>
    <row r="57">
      <c r="A57" s="30" t="inlineStr">
        <is>
          <t>Gordon TV</t>
        </is>
      </c>
      <c r="B57" s="3" t="inlineStr">
        <is>
          <t>Terminal value = FCFF₁₀ × (1+g) / (WACC − g); values all cash flows beyond 2035</t>
        </is>
      </c>
    </row>
    <row r="58">
      <c r="A58" s="30" t="inlineStr">
        <is>
          <t>Exit multiple TV</t>
        </is>
      </c>
      <c r="B58" s="3" t="inlineStr">
        <is>
          <t>Alternative terminal value = 2035 EBITDA × multiple; cross-checks Gordon (two methods should broadly agree)</t>
        </is>
      </c>
    </row>
    <row r="59">
      <c r="A59" s="30" t="inlineStr">
        <is>
          <t>TV % of EV</t>
        </is>
      </c>
      <c r="B59" s="3" t="inlineStr">
        <is>
          <t>Share of value from the terminal period; &gt;80% means the answer rests on terminal assumptions (ours ≈ 63%)</t>
        </is>
      </c>
    </row>
    <row r="61">
      <c r="A61" s="29" t="inlineStr">
        <is>
          <t>RECOMMENDED ACTION</t>
        </is>
      </c>
    </row>
    <row r="62">
      <c r="A62" s="43" t="inlineStr">
        <is>
          <t>HOLD (v3). Fair value ~EUR 15.72 Gordon / ~EUR 18.3 exit-mult vs EUR 15.19 (+3.5%): below the &gt;20% BUY hurdle. (Live: 00!B4.)</t>
        </is>
      </c>
      <c r="B62" s="44" t="n"/>
      <c r="C62" s="44" t="n"/>
      <c r="D62" s="44" t="n"/>
      <c r="E62" s="44" t="n"/>
      <c r="F62" s="44" t="n"/>
      <c r="G62" s="44" t="n"/>
      <c r="H62" s="44" t="n"/>
    </row>
    <row r="63">
      <c r="A63" s="3" t="inlineStr">
        <is>
          <t>Buy trigger &lt; EUR 14.50; 5-yr horizon cross-check ~EUR 17.7 (live 11!B39; TV ~83% of EV - shown for transparency).</t>
        </is>
      </c>
    </row>
    <row r="64">
      <c r="A64" s="3" t="inlineStr">
        <is>
          <t>v2 changes: IFRS16 lease principal charged in FCFF (+NFP excl leases in bridge, -~EUR 1.6/sh); NWC on DSO/DIO/DPO days;</t>
        </is>
      </c>
    </row>
    <row r="65">
      <c r="A65" s="3" t="inlineStr">
        <is>
          <t>bear = explicit 2027 cyclical downturn (EBITDA -18% trough) not a linear fade. Rating rule: &gt;20% upside required for BUY.</t>
        </is>
      </c>
    </row>
    <row r="66">
      <c r="A66" t="inlineStr">
        <is>
          <t>v3: digital P&amp;L ISOLATED (hardware margin expands on operating leverage to ~20.75%; digital carries its own ~60% margin). Digital option worth ~EUR 3.3/sh (base-&gt;bull-digital), vs ~EUR 0.6 when it was blended. Base total margin held at ~23.5%.</t>
        </is>
      </c>
    </row>
    <row r="67">
      <c r="A67" s="29" t="inlineStr">
        <is>
          <t>KEY RISKS (ranked by expected value impact)</t>
        </is>
      </c>
    </row>
    <row r="68">
      <c r="A68" s="3" t="inlineStr">
        <is>
          <t>1. BtoB capex cycle turn 2026-27: 5pp growth deceleration ≈ −€55-60m EBITDA by yr 5 ≈ −€3.5-4.0/share.</t>
        </is>
      </c>
    </row>
    <row r="69">
      <c r="A69" s="3" t="inlineStr">
        <is>
          <t>2. Margin stall at ~21.5% (bear): mean reversion after 4 years of expansion → value falls to ~€11.</t>
        </is>
      </c>
    </row>
    <row r="70">
      <c r="A70" s="3" t="inlineStr">
        <is>
          <t>3. Digital thesis failure / continued non-disclosure: removes the bull option; base case largely unaffected.</t>
        </is>
      </c>
    </row>
    <row r="71">
      <c r="A71" s="3" t="inlineStr">
        <is>
          <t>4. Americas/tariffs (17% of revenue, Q1-26 +2.5%): structural headwind if the tariff-deferral hypothesis is wrong.</t>
        </is>
      </c>
    </row>
    <row r="72">
      <c r="A72" s="3" t="inlineStr">
        <is>
          <t>5. Key-man (founder-CEO-chairman, family control) and FX (USD/EM).</t>
        </is>
      </c>
    </row>
    <row r="74">
      <c r="A74" s="3" t="inlineStr">
        <is>
          <t>Monitoring triggers: H1-26 print (30-Jul-26), first digital KPI disclosure, Americas re-acceleration.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7" t="inlineStr">
        <is>
          <t>TECHNOGYM S.p.A. — DCF MODEL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2">
      <c r="A2" s="1" t="inlineStr">
        <is>
          <t>TECHNOGYM S.p.A. (BIT: TGYM)</t>
        </is>
      </c>
    </row>
    <row r="3">
      <c r="A3" s="2" t="inlineStr">
        <is>
          <t>Discounted Cash Flow Valuation — Institutional Model</t>
        </is>
      </c>
    </row>
    <row r="5">
      <c r="A5" s="3" t="inlineStr">
        <is>
          <t>Investment question: Can Technogym transition from premium fitness equipment</t>
        </is>
      </c>
    </row>
    <row r="6">
      <c r="A6" s="3" t="inlineStr">
        <is>
          <t>manufacturer to a recurring software &amp; connected wellness platform deserving software multiples?</t>
        </is>
      </c>
    </row>
    <row r="8">
      <c r="A8" s="3" t="inlineStr">
        <is>
          <t>Prepared: 17 July 2026 | v2.0 (partner revision round) | Analyst: Tanmay Gambhir | EUR millions</t>
        </is>
      </c>
    </row>
    <row r="10">
      <c r="A10" s="2" t="inlineStr">
        <is>
          <t>Sheet map:</t>
        </is>
      </c>
    </row>
    <row r="11">
      <c r="A11" s="4" t="inlineStr">
        <is>
          <t>02 Sources</t>
        </is>
      </c>
      <c r="D11" s="3" t="inlineStr">
        <is>
          <t>Every figure traced: source, date, confidence</t>
        </is>
      </c>
    </row>
    <row r="12">
      <c r="A12" s="4" t="inlineStr">
        <is>
          <t>03 Assumptions</t>
        </is>
      </c>
      <c r="D12" s="3" t="inlineStr">
        <is>
          <t>ALL editable inputs (blue). Scenario switch drives the model</t>
        </is>
      </c>
    </row>
    <row r="13">
      <c r="A13" s="4" t="inlineStr">
        <is>
          <t>04 Historical Financials</t>
        </is>
      </c>
      <c r="D13" s="3" t="inlineStr">
        <is>
          <t>FY2022–25 reported (company PRs)</t>
        </is>
      </c>
    </row>
    <row r="14">
      <c r="A14" s="4" t="inlineStr">
        <is>
          <t>05 Revenue Build</t>
        </is>
      </c>
      <c r="D14" s="3" t="inlineStr">
        <is>
          <t>Driver-based: BtoB / BtoC / digital estimation block</t>
        </is>
      </c>
    </row>
    <row r="15">
      <c r="A15" s="4" t="inlineStr">
        <is>
          <t>06 Operating Model</t>
        </is>
      </c>
      <c r="D15" s="3" t="inlineStr">
        <is>
          <t>Margins → EBITDA → EBIT → NOPAT</t>
        </is>
      </c>
    </row>
    <row r="16">
      <c r="A16" s="4" t="inlineStr">
        <is>
          <t>07 Working Capital</t>
        </is>
      </c>
      <c r="D16" s="3" t="inlineStr">
        <is>
          <t>NWC % revenue method</t>
        </is>
      </c>
    </row>
    <row r="17">
      <c r="A17" s="4" t="inlineStr">
        <is>
          <t>08 Capex &amp; Depreciation</t>
        </is>
      </c>
      <c r="D17" s="3" t="inlineStr">
        <is>
          <t>% revenue with normalisation</t>
        </is>
      </c>
    </row>
    <row r="18">
      <c r="A18" s="4" t="inlineStr">
        <is>
          <t>09 Free Cash Flow</t>
        </is>
      </c>
      <c r="D18" s="3" t="inlineStr">
        <is>
          <t>FCFF bridge</t>
        </is>
      </c>
    </row>
    <row r="19">
      <c r="A19" s="4" t="inlineStr">
        <is>
          <t>10 WACC</t>
        </is>
      </c>
      <c r="D19" s="3" t="inlineStr">
        <is>
          <t>Bund-based build (no CRP double-count)</t>
        </is>
      </c>
    </row>
    <row r="20">
      <c r="A20" s="4" t="inlineStr">
        <is>
          <t>11 DCF Valuation</t>
        </is>
      </c>
      <c r="D20" s="3" t="inlineStr">
        <is>
          <t>Gordon + exit-multiple cross-check</t>
        </is>
      </c>
    </row>
    <row r="21">
      <c r="A21" s="4" t="inlineStr">
        <is>
          <t>12 Sensitivity Analysis</t>
        </is>
      </c>
      <c r="D21" s="3" t="inlineStr">
        <is>
          <t>WACC×g, WACC×exit, margin×growth</t>
        </is>
      </c>
    </row>
    <row r="22">
      <c r="A22" s="4" t="inlineStr">
        <is>
          <t>13 Scenarios</t>
        </is>
      </c>
      <c r="D22" s="3" t="inlineStr">
        <is>
          <t>Bear/Base/Bull side-by-side (simplified engine)</t>
        </is>
      </c>
    </row>
    <row r="23">
      <c r="A23" s="4" t="inlineStr">
        <is>
          <t>14 Charts &amp; Dashboard</t>
        </is>
      </c>
      <c r="D23" s="3" t="inlineStr">
        <is>
          <t>Outputs + charts</t>
        </is>
      </c>
    </row>
    <row r="26">
      <c r="A26" s="3" t="inlineStr">
        <is>
          <t>Color code: BLUE = input (edit me) | BLACK = formula | GREEN = cross-sheet link | RED = check</t>
        </is>
      </c>
    </row>
    <row r="27">
      <c r="A27" s="3" t="inlineStr">
        <is>
          <t>Legend: yellow-filled cells are the primary levers to edit (scenario switch, key assumptions).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2" customWidth="1" min="3" max="3"/>
    <col width="9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7" t="inlineStr">
        <is>
          <t>SOURCE REGISTER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3">
      <c r="A3" s="2" t="inlineStr">
        <is>
          <t>Item</t>
        </is>
      </c>
      <c r="B3" s="2" t="inlineStr">
        <is>
          <t>Value</t>
        </is>
      </c>
      <c r="C3" s="2" t="inlineStr">
        <is>
          <t>Confidence</t>
        </is>
      </c>
      <c r="D3" s="2" t="inlineStr">
        <is>
          <t>Source / date</t>
        </is>
      </c>
    </row>
    <row r="4">
      <c r="A4" s="3" t="inlineStr">
        <is>
          <t>FY2025 revenue / EBITDA adj / NP adj</t>
        </is>
      </c>
      <c r="B4" s="3" t="inlineStr">
        <is>
          <t>1,019.3 / 220.1 / 119.9</t>
        </is>
      </c>
      <c r="C4" s="3" t="inlineStr">
        <is>
          <t>H</t>
        </is>
      </c>
      <c r="D4" s="3" t="inlineStr">
        <is>
          <t>Technogym FY25 results PR, 19-Mar-2026 (corporate.technogym.com)</t>
        </is>
      </c>
    </row>
    <row r="5">
      <c r="A5" s="3" t="inlineStr">
        <is>
          <t>Segment splits, geography, channels</t>
        </is>
      </c>
      <c r="B5" s="3" t="inlineStr">
        <is>
          <t>see 04</t>
        </is>
      </c>
      <c r="C5" s="3" t="inlineStr">
        <is>
          <t>H</t>
        </is>
      </c>
      <c r="D5" s="3" t="inlineStr">
        <is>
          <t>FY25 PR tables</t>
        </is>
      </c>
    </row>
    <row r="6">
      <c r="A6" s="3" t="inlineStr">
        <is>
          <t>FY2022-24 revenue &amp; EBITDA</t>
        </is>
      </c>
      <c r="B6" s="3" t="inlineStr">
        <is>
          <t>721.5/808.1/901.3; 132/152/178.4</t>
        </is>
      </c>
      <c r="C6" s="3" t="inlineStr">
        <is>
          <t>H</t>
        </is>
      </c>
      <c r="D6" s="3" t="inlineStr">
        <is>
          <t>FY23 &amp; FY25 PRs</t>
        </is>
      </c>
    </row>
    <row r="7">
      <c r="A7" s="3" t="inlineStr">
        <is>
          <t>Net financial position (incl IFRS16)</t>
        </is>
      </c>
      <c r="B7" s="3" t="inlineStr">
        <is>
          <t>+156.0</t>
        </is>
      </c>
      <c r="C7" s="3" t="inlineStr">
        <is>
          <t>H</t>
        </is>
      </c>
      <c r="D7" s="3" t="inlineStr">
        <is>
          <t>FY25 PR</t>
        </is>
      </c>
    </row>
    <row r="8">
      <c r="A8" s="3" t="inlineStr">
        <is>
          <t>Shares out (ex-treasury)</t>
        </is>
      </c>
      <c r="B8" s="3" t="inlineStr">
        <is>
          <t>199.3m</t>
        </is>
      </c>
      <c r="C8" s="3" t="inlineStr">
        <is>
          <t>H</t>
        </is>
      </c>
      <c r="D8" s="3" t="inlineStr">
        <is>
          <t>FY25 PR: 201.3m total less 2.036m treasury</t>
        </is>
      </c>
    </row>
    <row r="9">
      <c r="A9" s="3" t="inlineStr">
        <is>
          <t>Share price</t>
        </is>
      </c>
      <c r="B9" s="3" t="inlineStr">
        <is>
          <t>15.19 (08-Jul-26)</t>
        </is>
      </c>
      <c r="C9" s="3" t="inlineStr">
        <is>
          <t>H</t>
        </is>
      </c>
      <c r="D9" s="3" t="inlineStr">
        <is>
          <t>Investing.com</t>
        </is>
      </c>
    </row>
    <row r="10">
      <c r="A10" s="3" t="inlineStr">
        <is>
          <t>Q1 2026 revenue</t>
        </is>
      </c>
      <c r="B10" s="3" t="inlineStr">
        <is>
          <t>236.8 (+10.1%)</t>
        </is>
      </c>
      <c r="C10" s="3" t="inlineStr">
        <is>
          <t>H</t>
        </is>
      </c>
      <c r="D10" s="3" t="inlineStr">
        <is>
          <t>Q1-26 IR presentation, 6-May-26</t>
        </is>
      </c>
    </row>
    <row r="11">
      <c r="A11" s="3" t="inlineStr">
        <is>
          <t>Bund 10Y</t>
        </is>
      </c>
      <c r="B11" s="3" t="inlineStr">
        <is>
          <t>3.13%</t>
        </is>
      </c>
      <c r="C11" s="3" t="inlineStr">
        <is>
          <t>H</t>
        </is>
      </c>
      <c r="D11" s="3" t="inlineStr">
        <is>
          <t>TradingEconomics 16-Jul-26</t>
        </is>
      </c>
    </row>
    <row r="12">
      <c r="A12" s="3" t="inlineStr">
        <is>
          <t>Mature ERP / Italy CRP</t>
        </is>
      </c>
      <c r="B12" s="3" t="inlineStr">
        <is>
          <t>4.23% / 2.46%</t>
        </is>
      </c>
      <c r="C12" s="3" t="inlineStr">
        <is>
          <t>H</t>
        </is>
      </c>
      <c r="D12" s="3" t="inlineStr">
        <is>
          <t>Damodaran, Jan-2026 update</t>
        </is>
      </c>
    </row>
    <row r="13">
      <c r="A13" s="3" t="inlineStr">
        <is>
          <t>Beta (levered)</t>
        </is>
      </c>
      <c r="B13" s="3" t="inlineStr">
        <is>
          <t>0.95 triangulated</t>
        </is>
      </c>
      <c r="C13" s="3" t="inlineStr">
        <is>
          <t>M</t>
        </is>
      </c>
      <c r="D13" s="3" t="inlineStr">
        <is>
          <t>Yahoo 0.86 5Y-M; TradingView 0.94; range 0.80-1.16</t>
        </is>
      </c>
    </row>
    <row r="14">
      <c r="A14" s="3" t="inlineStr">
        <is>
          <t>Digital revenue 2025</t>
        </is>
      </c>
      <c r="B14" s="3" t="inlineStr">
        <is>
          <t>~45 (ESTIMATE)</t>
        </is>
      </c>
      <c r="C14" s="3" t="inlineStr">
        <is>
          <t>L</t>
        </is>
      </c>
      <c r="D14" s="3" t="inlineStr">
        <is>
          <t>Estimation block: 100k sites/500k homes x attach x ARPU. NOT DISCLOSED by company</t>
        </is>
      </c>
    </row>
    <row r="15">
      <c r="A15" s="3" t="inlineStr">
        <is>
          <t>Digital split of 2025 segments</t>
        </is>
      </c>
      <c r="B15" s="3" t="inlineStr">
        <is>
          <t>B2B 36 / B2C 9</t>
        </is>
      </c>
      <c r="C15" s="3" t="inlineStr">
        <is>
          <t>L</t>
        </is>
      </c>
      <c r="D15" s="3" t="inlineStr">
        <is>
          <t>Derived from estimation block; carved out of reported segments</t>
        </is>
      </c>
    </row>
    <row r="16">
      <c r="A16" s="3" t="inlineStr">
        <is>
          <t>Effective tax rate</t>
        </is>
      </c>
      <c r="B16" s="3" t="inlineStr">
        <is>
          <t>27.4%</t>
        </is>
      </c>
      <c r="C16" s="3" t="inlineStr">
        <is>
          <t>H</t>
        </is>
      </c>
      <c r="D16" s="3" t="inlineStr">
        <is>
          <t>FY25 PR: tax 43.7 on PBT 159.7</t>
        </is>
      </c>
    </row>
    <row r="17">
      <c r="A17" s="3" t="inlineStr">
        <is>
          <t>Comps: JHT/Amer/Garmin/Ipsen</t>
        </is>
      </c>
      <c r="B17" s="3" t="inlineStr">
        <is>
          <t>10.5x/20.1x/19.8x/8.4x</t>
        </is>
      </c>
      <c r="C17" s="3" t="inlineStr">
        <is>
          <t>H/M</t>
        </is>
      </c>
      <c r="D17" s="3" t="inlineStr">
        <is>
          <t>stockanalysis.com, multiples.vc, GuruFocus Jun-Jul 26</t>
        </is>
      </c>
    </row>
    <row r="18">
      <c r="A18" s="3" t="inlineStr">
        <is>
          <t>Consensus TP</t>
        </is>
      </c>
      <c r="B18" s="3" t="inlineStr">
        <is>
          <t>19.3-20.6</t>
        </is>
      </c>
      <c r="C18" s="3" t="inlineStr">
        <is>
          <t>M</t>
        </is>
      </c>
      <c r="D18" s="3" t="inlineStr">
        <is>
          <t>MarketScreener/TipRanks Jul-26</t>
        </is>
      </c>
    </row>
    <row r="19">
      <c r="A19" s="3" t="inlineStr">
        <is>
          <t>All scenario growth/margin paths</t>
        </is>
      </c>
      <c r="B19" s="3" t="inlineStr">
        <is>
          <t>03 Assumptions</t>
        </is>
      </c>
      <c r="C19" s="3" t="inlineStr">
        <is>
          <t>L/M</t>
        </is>
      </c>
      <c r="D19" s="3" t="inlineStr">
        <is>
          <t>Analyst judgment anchored to history - see Assumptions Register (project 01_Research)</t>
        </is>
      </c>
    </row>
    <row r="22">
      <c r="A22" s="3" t="inlineStr">
        <is>
          <t>Confidence: H = reported/primary | M = derived/consensus | L = analyst estimate (clearly labelled)</t>
        </is>
      </c>
    </row>
    <row r="24">
      <c r="A24" s="3" t="inlineStr">
        <is>
          <t>ANNOTATED-SCREENSHOT NOTE: source-page screenshots are not embedded (build environment cannot capture</t>
        </is>
      </c>
    </row>
    <row r="25">
      <c r="A25" s="3" t="inlineStr">
        <is>
          <t>annotated images from the source PDFs). In lieu: precise table-level citations below. All primary PDFs are linked</t>
        </is>
      </c>
    </row>
    <row r="26">
      <c r="A26" s="3" t="inlineStr">
        <is>
          <t>in the project Bibliography for page-level verification.</t>
        </is>
      </c>
    </row>
    <row r="28">
      <c r="A28" s="30" t="inlineStr">
        <is>
          <t>Precise citations:</t>
        </is>
      </c>
    </row>
    <row r="29">
      <c r="A29" s="3" t="inlineStr">
        <is>
          <t>Revenue by customer type</t>
        </is>
      </c>
      <c r="D29" s="3" t="inlineStr">
        <is>
          <t>FY25 PR p.3, table 'Revenue by customer type'</t>
        </is>
      </c>
    </row>
    <row r="30">
      <c r="A30" s="3" t="inlineStr">
        <is>
          <t>Revenue by geography</t>
        </is>
      </c>
      <c r="D30" s="3" t="inlineStr">
        <is>
          <t>FY25 PR p.3-4, table 'Revenue by geographies'</t>
        </is>
      </c>
    </row>
    <row r="31">
      <c r="A31" s="3" t="inlineStr">
        <is>
          <t>Revenue by channel</t>
        </is>
      </c>
      <c r="D31" s="3" t="inlineStr">
        <is>
          <t>FY25 PR p.4, table 'Revenue by distribution channels'</t>
        </is>
      </c>
    </row>
    <row r="32">
      <c r="A32" s="3" t="inlineStr">
        <is>
          <t>EBITDA / EBIT / NP adj.</t>
        </is>
      </c>
      <c r="D32" s="3" t="inlineStr">
        <is>
          <t>FY25 PR p.4-5, section 2</t>
        </is>
      </c>
    </row>
    <row r="33">
      <c r="A33" s="3" t="inlineStr">
        <is>
          <t>NFP &amp; FCF</t>
        </is>
      </c>
      <c r="D33" s="3" t="inlineStr">
        <is>
          <t>FY25 PR p.5, 'Net Financial Position and Free Cash Flow'</t>
        </is>
      </c>
    </row>
    <row r="34">
      <c r="A34" s="3" t="inlineStr">
        <is>
          <t>Full P&amp;L / BS / CF</t>
        </is>
      </c>
      <c r="D34" s="3" t="inlineStr">
        <is>
          <t>FY25 PR p.10-12, consolidated statements</t>
        </is>
      </c>
    </row>
    <row r="35">
      <c r="A35" s="3" t="inlineStr">
        <is>
          <t>Margin history 2021-24</t>
        </is>
      </c>
      <c r="D35" s="3" t="inlineStr">
        <is>
          <t>FY25 PR p.2 (17.5/18.3/18.8/19.8%)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7" t="inlineStr">
        <is>
          <t>ASSUMPTIONS &amp; SCENARIO SWITCH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3">
      <c r="A3" s="2" t="inlineStr">
        <is>
          <t>SCENARIO SWITCH (1=Bear, 2=Base, 3=Bull)</t>
        </is>
      </c>
      <c r="B3" s="5" t="n">
        <v>2</v>
      </c>
      <c r="C3" s="6">
        <f>IF(OR($B$3=1,$B$3=2,$B$3=3),"OK","ERROR: switch must be 1, 2 or 3")</f>
        <v/>
      </c>
    </row>
    <row r="5">
      <c r="A5" s="45" t="inlineStr">
        <is>
          <t>Scenario-driven inputs</t>
        </is>
      </c>
      <c r="B5" s="38" t="n"/>
      <c r="C5" s="45" t="inlineStr">
        <is>
          <t>Bear</t>
        </is>
      </c>
      <c r="D5" s="45" t="inlineStr">
        <is>
          <t>Base</t>
        </is>
      </c>
      <c r="E5" s="45" t="inlineStr">
        <is>
          <t>Bull</t>
        </is>
      </c>
      <c r="F5" s="45" t="inlineStr">
        <is>
          <t>ACTIVE</t>
        </is>
      </c>
    </row>
    <row r="6">
      <c r="A6" s="35" t="inlineStr">
        <is>
          <t>BtoB equipment growth, 2026</t>
        </is>
      </c>
      <c r="B6" s="38" t="n"/>
      <c r="C6" s="46" t="n">
        <v>0.04</v>
      </c>
      <c r="D6" s="46" t="n">
        <v>0.09</v>
      </c>
      <c r="E6" s="46" t="n">
        <v>0.13</v>
      </c>
      <c r="F6" s="47">
        <f>CHOOSE($B$3,C6,D6,E6)</f>
        <v/>
      </c>
    </row>
    <row r="7">
      <c r="A7" s="35" t="inlineStr">
        <is>
          <t>BtoB growth by 2035 (fade to)</t>
        </is>
      </c>
      <c r="B7" s="38" t="n"/>
      <c r="C7" s="46" t="n">
        <v>0.02</v>
      </c>
      <c r="D7" s="46" t="n">
        <v>0.025</v>
      </c>
      <c r="E7" s="46" t="n">
        <v>0.03</v>
      </c>
      <c r="F7" s="47">
        <f>CHOOSE($B$3,C7,D7,E7)</f>
        <v/>
      </c>
    </row>
    <row r="8">
      <c r="A8" s="35" t="inlineStr">
        <is>
          <t>BtoC growth, 2026</t>
        </is>
      </c>
      <c r="B8" s="38" t="n"/>
      <c r="C8" s="46" t="n">
        <v>0</v>
      </c>
      <c r="D8" s="46" t="n">
        <v>0.05</v>
      </c>
      <c r="E8" s="46" t="n">
        <v>0.09</v>
      </c>
      <c r="F8" s="47">
        <f>CHOOSE($B$3,C8,D8,E8)</f>
        <v/>
      </c>
    </row>
    <row r="9">
      <c r="A9" s="35" t="inlineStr">
        <is>
          <t>BtoC growth by 2035 (fade to)</t>
        </is>
      </c>
      <c r="B9" s="38" t="n"/>
      <c r="C9" s="46" t="n">
        <v>0.01</v>
      </c>
      <c r="D9" s="46" t="n">
        <v>0.02</v>
      </c>
      <c r="E9" s="46" t="n">
        <v>0.025</v>
      </c>
      <c r="F9" s="47">
        <f>CHOOSE($B$3,C9,D9,E9)</f>
        <v/>
      </c>
    </row>
    <row r="10">
      <c r="A10" s="35" t="inlineStr">
        <is>
          <t>B2B digital attach endpoint (by 2030)</t>
        </is>
      </c>
      <c r="B10" s="38" t="n"/>
      <c r="C10" s="46" t="n">
        <v>0.2</v>
      </c>
      <c r="D10" s="46" t="n">
        <v>0.3</v>
      </c>
      <c r="E10" s="46" t="n">
        <v>0.4</v>
      </c>
      <c r="F10" s="47">
        <f>CHOOSE($B$3,C10,D10,E10)</f>
        <v/>
      </c>
    </row>
    <row r="11">
      <c r="A11" s="35" t="inlineStr">
        <is>
          <t>Consumer digital attach endpoint (by 2030)</t>
        </is>
      </c>
      <c r="B11" s="38" t="n"/>
      <c r="C11" s="46" t="n">
        <v>0.15</v>
      </c>
      <c r="D11" s="46" t="n">
        <v>0.2</v>
      </c>
      <c r="E11" s="46" t="n">
        <v>0.3</v>
      </c>
      <c r="F11" s="47">
        <f>CHOOSE($B$3,C11,D11,E11)</f>
        <v/>
      </c>
    </row>
    <row r="12">
      <c r="A12" s="35" t="inlineStr">
        <is>
          <t>Digital ARPU growth p.a.</t>
        </is>
      </c>
      <c r="B12" s="38" t="n"/>
      <c r="C12" s="46" t="n">
        <v>0</v>
      </c>
      <c r="D12" s="46" t="n">
        <v>0.03</v>
      </c>
      <c r="E12" s="46" t="n">
        <v>0.05</v>
      </c>
      <c r="F12" s="47">
        <f>CHOOSE($B$3,C12,D12,E12)</f>
        <v/>
      </c>
    </row>
    <row r="13">
      <c r="A13" s="35" t="inlineStr">
        <is>
          <t>Hardware EBITDA margin endpoint by 2032 (v3 isolated; ex-digital)</t>
        </is>
      </c>
      <c r="B13" s="38" t="n"/>
      <c r="C13" s="46" t="n">
        <v>0.195</v>
      </c>
      <c r="D13" s="46" t="n">
        <v>0.2075</v>
      </c>
      <c r="E13" s="46" t="n">
        <v>0.222</v>
      </c>
      <c r="F13" s="47">
        <f>CHOOSE($B$3,C13,D13,E13)</f>
        <v/>
      </c>
    </row>
    <row r="14">
      <c r="A14" s="35" t="inlineStr">
        <is>
          <t>Capex % revenue</t>
        </is>
      </c>
      <c r="B14" s="38" t="n"/>
      <c r="C14" s="46" t="n">
        <v>0.055</v>
      </c>
      <c r="D14" s="46" t="n">
        <v>0.05</v>
      </c>
      <c r="E14" s="46" t="n">
        <v>0.05</v>
      </c>
      <c r="F14" s="47">
        <f>CHOOSE($B$3,C14,D14,E14)</f>
        <v/>
      </c>
    </row>
    <row r="15">
      <c r="A15" s="35" t="inlineStr">
        <is>
          <t>WC stress: DSO shift (+days, bear case)</t>
        </is>
      </c>
      <c r="B15" s="38" t="n"/>
      <c r="C15" s="48" t="n">
        <v>10</v>
      </c>
      <c r="D15" s="48" t="n">
        <v>0</v>
      </c>
      <c r="E15" s="48" t="n">
        <v>0</v>
      </c>
      <c r="F15" s="49">
        <f>CHOOSE($B$3,C15,D15,E15)</f>
        <v/>
      </c>
    </row>
    <row r="16">
      <c r="A16" s="35" t="inlineStr">
        <is>
          <t>Terminal growth g</t>
        </is>
      </c>
      <c r="B16" s="38" t="n"/>
      <c r="C16" s="46" t="n">
        <v>0.015</v>
      </c>
      <c r="D16" s="46" t="n">
        <v>0.0225</v>
      </c>
      <c r="E16" s="46" t="n">
        <v>0.0275</v>
      </c>
      <c r="F16" s="47">
        <f>CHOOSE($B$3,C16,D16,E16)</f>
        <v/>
      </c>
    </row>
    <row r="17">
      <c r="A17" s="35" t="inlineStr">
        <is>
          <t>Exit EV/EBITDA multiple (cross-check)</t>
        </is>
      </c>
      <c r="B17" s="38" t="n"/>
      <c r="C17" s="50" t="n">
        <v>10</v>
      </c>
      <c r="D17" s="50" t="n">
        <v>12</v>
      </c>
      <c r="E17" s="50" t="n">
        <v>14</v>
      </c>
      <c r="F17" s="51">
        <f>CHOOSE($B$3,C17,D17,E17)</f>
        <v/>
      </c>
    </row>
    <row r="18">
      <c r="A18" t="inlineStr">
        <is>
          <t>Digital EBITDA margin (v3; editable, sensitize 50-75%)</t>
        </is>
      </c>
      <c r="C18" t="n">
        <v>0.5</v>
      </c>
      <c r="D18" t="n">
        <v>0.6</v>
      </c>
      <c r="E18" t="n">
        <v>0.75</v>
      </c>
      <c r="F18">
        <f>CHOOSE($B$3,C18,D18,E18)</f>
        <v/>
      </c>
    </row>
    <row r="20">
      <c r="A20" s="2" t="inlineStr">
        <is>
          <t>Fixed inputs (edit if evidence changes)</t>
        </is>
      </c>
    </row>
    <row r="21">
      <c r="A21" s="3" t="inlineStr">
        <is>
          <t>Effective tax rate</t>
        </is>
      </c>
      <c r="B21" s="7" t="n">
        <v>0.274</v>
      </c>
    </row>
    <row r="22">
      <c r="A22" s="3" t="inlineStr">
        <is>
          <t>D&amp;A % revenue</t>
        </is>
      </c>
      <c r="B22" s="7" t="n">
        <v>0.051</v>
      </c>
    </row>
    <row r="23">
      <c r="A23" s="3" t="inlineStr">
        <is>
          <t>Shares outstanding ex-treasury (m)</t>
        </is>
      </c>
      <c r="B23" s="9" t="n">
        <v>199.3</v>
      </c>
    </row>
    <row r="24">
      <c r="A24" s="3" t="inlineStr">
        <is>
          <t>Net financial position incl IFRS16 (€m, + = net cash)</t>
        </is>
      </c>
      <c r="B24" s="9" t="n">
        <v>156</v>
      </c>
    </row>
    <row r="25">
      <c r="A25" s="3" t="inlineStr">
        <is>
          <t>Share price (08-Jul-26, €)</t>
        </is>
      </c>
      <c r="B25" s="13" t="n">
        <v>15.19</v>
      </c>
    </row>
    <row r="26">
      <c r="A26" s="3" t="inlineStr">
        <is>
          <t>B2B installed sites (2025)</t>
        </is>
      </c>
      <c r="B26" s="14" t="n">
        <v>100000</v>
      </c>
    </row>
    <row r="27">
      <c r="A27" s="3" t="inlineStr">
        <is>
          <t>B2B sites growth p.a.</t>
        </is>
      </c>
      <c r="B27" s="7" t="n">
        <v>0.03</v>
      </c>
    </row>
    <row r="28">
      <c r="A28" s="3" t="inlineStr">
        <is>
          <t>B2B digital ARPU €/site/yr (2025)</t>
        </is>
      </c>
      <c r="B28" s="14" t="n">
        <v>1800</v>
      </c>
    </row>
    <row r="29">
      <c r="A29" s="3" t="inlineStr">
        <is>
          <t>Consumer connected homes (2025)</t>
        </is>
      </c>
      <c r="B29" s="14" t="n">
        <v>500000</v>
      </c>
    </row>
    <row r="30">
      <c r="A30" s="3" t="inlineStr">
        <is>
          <t>Homes growth p.a.</t>
        </is>
      </c>
      <c r="B30" s="7" t="n">
        <v>0.05</v>
      </c>
    </row>
    <row r="31">
      <c r="A31" s="3" t="inlineStr">
        <is>
          <t>Consumer ARPU €/user/yr (2025)</t>
        </is>
      </c>
      <c r="B31" s="14" t="n">
        <v>120</v>
      </c>
    </row>
    <row r="32">
      <c r="A32" s="3" t="inlineStr">
        <is>
          <t>B2B attach rate 2025 (est.)</t>
        </is>
      </c>
      <c r="B32" s="7" t="n">
        <v>0.2</v>
      </c>
    </row>
    <row r="33">
      <c r="A33" s="3" t="inlineStr">
        <is>
          <t>Consumer attach rate 2025 (est.)</t>
        </is>
      </c>
      <c r="B33" s="7" t="n">
        <v>0.15</v>
      </c>
    </row>
    <row r="34">
      <c r="A34" s="3" t="inlineStr">
        <is>
          <t>2025 BtoB revenue ex-digital (€m)</t>
        </is>
      </c>
      <c r="B34" s="9" t="n">
        <v>787.6</v>
      </c>
    </row>
    <row r="35">
      <c r="A35" s="3" t="inlineStr">
        <is>
          <t>2025 BtoC revenue ex-digital (€m)</t>
        </is>
      </c>
      <c r="B35" s="9" t="n">
        <v>186.7</v>
      </c>
    </row>
    <row r="36">
      <c r="A36" s="3" t="inlineStr">
        <is>
          <t>2025 digital revenue est. (€m)</t>
        </is>
      </c>
      <c r="B36" s="9" t="n">
        <v>45</v>
      </c>
    </row>
    <row r="38">
      <c r="A38" s="3" t="inlineStr">
        <is>
          <t>Note: digital revenue is NOT disclosed. Rows 26-33 + 36 are an explicit L-confidence estimation</t>
        </is>
      </c>
    </row>
    <row r="39">
      <c r="A39" s="3" t="inlineStr">
        <is>
          <t>block; 2025 segment bases (rows 34-35) are reported segments minus the digital estimate.</t>
        </is>
      </c>
    </row>
    <row r="40">
      <c r="A40" s="6">
        <f>IF(ABS(B34+B35+B36-1019.3)&lt;0.5,"CHECK OK: 2025 splits sum to reported 1,019.3","ERROR: 2025 revenue splits do not sum")</f>
        <v/>
      </c>
    </row>
    <row r="42">
      <c r="A42" s="2" t="inlineStr">
        <is>
          <t>IFRS 16 &amp; working-capital inputs (v2)</t>
        </is>
      </c>
    </row>
    <row r="43">
      <c r="A43" s="3" t="inlineStr">
        <is>
          <t>Lease principal repayment % revenue (2025: 15.1/1019.3)</t>
        </is>
      </c>
      <c r="B43" s="7" t="n">
        <v>0.0148</v>
      </c>
    </row>
    <row r="44">
      <c r="A44" s="3" t="inlineStr">
        <is>
          <t>NFP EXCLUDING IFRS16 (€m) — used in DCF bridge</t>
        </is>
      </c>
      <c r="B44" s="9" t="n">
        <v>209.6</v>
      </c>
    </row>
    <row r="45">
      <c r="A45" s="3" t="inlineStr">
        <is>
          <t>DSO days (2025 actual)</t>
        </is>
      </c>
      <c r="B45" s="9" t="n">
        <v>47.3</v>
      </c>
    </row>
    <row r="46">
      <c r="A46" s="3" t="inlineStr">
        <is>
          <t>DIO days on materials (2025 actual)</t>
        </is>
      </c>
      <c r="B46" s="9" t="n">
        <v>127</v>
      </c>
    </row>
    <row r="47">
      <c r="A47" s="3" t="inlineStr">
        <is>
          <t>DPO days on materials (2025 actual)</t>
        </is>
      </c>
      <c r="B47" s="9" t="n">
        <v>221</v>
      </c>
    </row>
    <row r="48">
      <c r="A48" s="3" t="inlineStr">
        <is>
          <t>Materials cost % revenue</t>
        </is>
      </c>
      <c r="B48" s="7" t="n">
        <v>0.315</v>
      </c>
    </row>
    <row r="49">
      <c r="A49" s="3" t="inlineStr">
        <is>
          <t>Bear-case DPO compression (−days)</t>
        </is>
      </c>
      <c r="B49" s="9" t="n">
        <v>30</v>
      </c>
    </row>
    <row r="51">
      <c r="A51" s="3" t="inlineStr">
        <is>
          <t>v2 methodology: FCFF charges lease principal (IFRS16 consistency) and the equity bridge uses NFP EXCL leases (B44).</t>
        </is>
      </c>
    </row>
    <row r="52">
      <c r="A52" s="3" t="inlineStr">
        <is>
          <t>NWC built on DSO/DIO/DPO days (07); bear case applies DSO +10d / DPO −30d stress. Bear growth/margin use explicit</t>
        </is>
      </c>
    </row>
    <row r="53">
      <c r="A53" s="3" t="inlineStr">
        <is>
          <t>cyclical paths on 05 (2027 downturn, partial recovery) instead of a linear fade.</t>
        </is>
      </c>
    </row>
    <row r="54">
      <c r="A54" t="inlineStr">
        <is>
          <t>v3: digital P&amp;L isolated. Hardware margin expands from a derived 2025 level (~19.8%, = (220.1 - digital EBITDA)/hardware rev) to F13 endpoint;</t>
        </is>
      </c>
    </row>
    <row r="55">
      <c r="A55" t="inlineStr">
        <is>
          <t>digital revenue carries its own margin (F18). Base hardware endpoint 20.75% holds TOTAL base margin at the defensible ~23.5% (margin-neutral restructure);</t>
        </is>
      </c>
    </row>
    <row r="56">
      <c r="A56" t="inlineStr">
        <is>
          <t>the 22.75% hardware-endpoint variant (total ~25.4%, base ~EUR 17.2) is an UPSIDE sensitivity, not the base. Bear keeps the explicit cyclical total-margin path (05!row33).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7" t="inlineStr">
        <is>
          <t>HISTORICAL FINANCIALS &amp; TRENDS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3">
      <c r="A3" s="2" t="inlineStr">
        <is>
          <t>€m</t>
        </is>
      </c>
      <c r="B3" s="2" t="inlineStr">
        <is>
          <t>2022</t>
        </is>
      </c>
      <c r="C3" s="2" t="inlineStr">
        <is>
          <t>2023</t>
        </is>
      </c>
      <c r="D3" s="2" t="inlineStr">
        <is>
          <t>2024</t>
        </is>
      </c>
      <c r="E3" s="2" t="inlineStr">
        <is>
          <t>2025</t>
        </is>
      </c>
    </row>
    <row r="4">
      <c r="A4" s="3" t="inlineStr">
        <is>
          <t>Revenue</t>
        </is>
      </c>
      <c r="B4" s="9" t="n">
        <v>721.5</v>
      </c>
      <c r="C4" s="9" t="n">
        <v>808.1</v>
      </c>
      <c r="D4" s="9" t="n">
        <v>901.3</v>
      </c>
      <c r="E4" s="9" t="n">
        <v>1019.3</v>
      </c>
    </row>
    <row r="5">
      <c r="A5" s="3" t="inlineStr">
        <is>
          <t>Adj. EBITDA</t>
        </is>
      </c>
      <c r="B5" s="9" t="n">
        <v>132</v>
      </c>
      <c r="C5" s="9" t="n">
        <v>152</v>
      </c>
      <c r="D5" s="9" t="n">
        <v>178.4</v>
      </c>
      <c r="E5" s="9" t="n">
        <v>220.1</v>
      </c>
    </row>
    <row r="6">
      <c r="A6" s="3" t="inlineStr">
        <is>
          <t>Adj. EBIT</t>
        </is>
      </c>
      <c r="D6" s="9" t="n">
        <v>122.1</v>
      </c>
      <c r="E6" s="9" t="n">
        <v>163.9</v>
      </c>
    </row>
    <row r="7">
      <c r="A7" s="3" t="inlineStr">
        <is>
          <t>Adj. Net profit</t>
        </is>
      </c>
      <c r="D7" s="9" t="n">
        <v>90.2</v>
      </c>
      <c r="E7" s="9" t="n">
        <v>119.9</v>
      </c>
    </row>
    <row r="8">
      <c r="A8" s="3" t="inlineStr">
        <is>
          <t>D&amp;A</t>
        </is>
      </c>
      <c r="D8" s="9" t="n">
        <v>51.8</v>
      </c>
      <c r="E8" s="9" t="n">
        <v>52.3</v>
      </c>
    </row>
    <row r="9">
      <c r="A9" s="3" t="inlineStr">
        <is>
          <t>Recurring FCF</t>
        </is>
      </c>
      <c r="D9" s="9" t="n">
        <v>116.4</v>
      </c>
      <c r="E9" s="9" t="n">
        <v>129.9</v>
      </c>
    </row>
    <row r="10">
      <c r="A10" s="3" t="inlineStr">
        <is>
          <t>Net financial position (+=cash)</t>
        </is>
      </c>
      <c r="D10" s="9" t="n">
        <v>160.1</v>
      </c>
      <c r="E10" s="9" t="n">
        <v>156</v>
      </c>
    </row>
    <row r="11">
      <c r="A11" s="3" t="inlineStr">
        <is>
          <t>Inventory</t>
        </is>
      </c>
      <c r="D11" s="9" t="n">
        <v>110.9</v>
      </c>
      <c r="E11" s="9" t="n">
        <v>112</v>
      </c>
    </row>
    <row r="12">
      <c r="A12" s="3" t="inlineStr">
        <is>
          <t>Trade receivables</t>
        </is>
      </c>
      <c r="D12" s="9" t="n">
        <v>132.8</v>
      </c>
      <c r="E12" s="9" t="n">
        <v>131.8</v>
      </c>
    </row>
    <row r="13">
      <c r="A13" s="3" t="inlineStr">
        <is>
          <t>Trade payables</t>
        </is>
      </c>
      <c r="D13" s="9" t="n">
        <v>179.1</v>
      </c>
      <c r="E13" s="9" t="n">
        <v>194.4</v>
      </c>
    </row>
    <row r="15">
      <c r="A15" s="2" t="inlineStr">
        <is>
          <t>Derived ratios</t>
        </is>
      </c>
    </row>
    <row r="16">
      <c r="A16" s="3" t="inlineStr">
        <is>
          <t>EBITDA margin</t>
        </is>
      </c>
      <c r="B16" s="15">
        <f>B5/B4</f>
        <v/>
      </c>
      <c r="C16" s="15">
        <f>C5/C4</f>
        <v/>
      </c>
      <c r="D16" s="15">
        <f>D5/D4</f>
        <v/>
      </c>
      <c r="E16" s="15">
        <f>E5/E4</f>
        <v/>
      </c>
    </row>
    <row r="17">
      <c r="A17" s="3" t="inlineStr">
        <is>
          <t>Revenue growth</t>
        </is>
      </c>
      <c r="C17" s="15">
        <f>C4/B4-1</f>
        <v/>
      </c>
      <c r="D17" s="15">
        <f>D4/C4-1</f>
        <v/>
      </c>
      <c r="E17" s="15">
        <f>E4/D4-1</f>
        <v/>
      </c>
    </row>
    <row r="18">
      <c r="A18" s="3" t="inlineStr">
        <is>
          <t>Net trade WC (inv+AR-AP)</t>
        </is>
      </c>
      <c r="D18" s="16">
        <f>D11+D12-D13</f>
        <v/>
      </c>
      <c r="E18" s="16">
        <f>E11+E12-E13</f>
        <v/>
      </c>
    </row>
    <row r="19">
      <c r="A19" s="3" t="inlineStr">
        <is>
          <t>NWC % revenue</t>
        </is>
      </c>
      <c r="D19" s="15">
        <f>D18/D4</f>
        <v/>
      </c>
      <c r="E19" s="15">
        <f>E18/E4</f>
        <v/>
      </c>
    </row>
    <row r="21">
      <c r="A21" s="3" t="inlineStr">
        <is>
          <t>Source: FY2023 &amp; FY2025 results press releases (see 02 Sources). Blue = reported hardcodes.</t>
        </is>
      </c>
    </row>
    <row r="23">
      <c r="A23" s="30" t="inlineStr">
        <is>
          <t>TREND EXHIBITS</t>
        </is>
      </c>
    </row>
    <row r="24">
      <c r="A24" s="3" t="inlineStr">
        <is>
          <t>EBITDA margin 2021-2025 (reported)</t>
        </is>
      </c>
    </row>
    <row r="25">
      <c r="A25" s="3" t="inlineStr">
        <is>
          <t>Year</t>
        </is>
      </c>
      <c r="B25" s="3" t="inlineStr">
        <is>
          <t>2021</t>
        </is>
      </c>
      <c r="C25" s="3" t="inlineStr">
        <is>
          <t>2022</t>
        </is>
      </c>
      <c r="D25" s="3" t="inlineStr">
        <is>
          <t>2023</t>
        </is>
      </c>
      <c r="E25" s="3" t="inlineStr">
        <is>
          <t>2024</t>
        </is>
      </c>
      <c r="F25" s="3" t="inlineStr">
        <is>
          <t>2025</t>
        </is>
      </c>
    </row>
    <row r="26">
      <c r="A26" s="3" t="inlineStr">
        <is>
          <t>Margin</t>
        </is>
      </c>
      <c r="B26" s="7" t="n">
        <v>0.175</v>
      </c>
      <c r="C26" s="7" t="n">
        <v>0.183</v>
      </c>
      <c r="D26" s="7" t="n">
        <v>0.188</v>
      </c>
      <c r="E26" s="7" t="n">
        <v>0.198</v>
      </c>
      <c r="F26" s="7" t="n">
        <v>0.216</v>
      </c>
    </row>
    <row r="28">
      <c r="A28" s="3" t="inlineStr">
        <is>
          <t>Segment &amp; geography mix (reported, €m)</t>
        </is>
      </c>
    </row>
    <row r="29">
      <c r="A29" s="3" t="inlineStr"/>
      <c r="B29" s="3" t="inlineStr">
        <is>
          <t>2024</t>
        </is>
      </c>
      <c r="C29" s="3" t="inlineStr">
        <is>
          <t>2025</t>
        </is>
      </c>
    </row>
    <row r="30">
      <c r="A30" s="3" t="inlineStr">
        <is>
          <t>BtoB</t>
        </is>
      </c>
      <c r="B30" s="9" t="n">
        <v>716.9</v>
      </c>
      <c r="C30" s="9" t="n">
        <v>823.6</v>
      </c>
    </row>
    <row r="31">
      <c r="A31" s="3" t="inlineStr">
        <is>
          <t>BtoC</t>
        </is>
      </c>
      <c r="B31" s="9" t="n">
        <v>184.4</v>
      </c>
      <c r="C31" s="9" t="n">
        <v>195.7</v>
      </c>
    </row>
    <row r="32">
      <c r="A32" s="3" t="inlineStr">
        <is>
          <t>Europe ex-Italy</t>
        </is>
      </c>
      <c r="B32" s="9" t="n">
        <v>416.1</v>
      </c>
      <c r="C32" s="9" t="n">
        <v>479.7</v>
      </c>
    </row>
    <row r="33">
      <c r="A33" s="3" t="inlineStr">
        <is>
          <t>Americas</t>
        </is>
      </c>
      <c r="B33" s="9" t="n">
        <v>146.4</v>
      </c>
      <c r="C33" s="9" t="n">
        <v>168.2</v>
      </c>
    </row>
    <row r="34">
      <c r="A34" s="3" t="inlineStr">
        <is>
          <t>MEIA</t>
        </is>
      </c>
      <c r="B34" s="9" t="n">
        <v>126.4</v>
      </c>
      <c r="C34" s="9" t="n">
        <v>134.7</v>
      </c>
    </row>
    <row r="35">
      <c r="A35" s="3" t="inlineStr">
        <is>
          <t>APAC</t>
        </is>
      </c>
      <c r="B35" s="9" t="n">
        <v>122.2</v>
      </c>
      <c r="C35" s="9" t="n">
        <v>128.7</v>
      </c>
    </row>
    <row r="36">
      <c r="A36" s="3" t="inlineStr">
        <is>
          <t>Italy</t>
        </is>
      </c>
      <c r="B36" s="9" t="n">
        <v>90.09999999999999</v>
      </c>
      <c r="C36" s="9" t="n">
        <v>108</v>
      </c>
    </row>
    <row r="38">
      <c r="A38" s="3" t="inlineStr">
        <is>
          <t>Cash conversion (recurring pre-tax FCF / EBITDA): 86% (2024) → 82% (2025). ROCE ≈ 24% (2025, approx).</t>
        </is>
      </c>
    </row>
    <row r="40">
      <c r="A40" s="56" t="inlineStr">
        <is>
          <t>H1-2026 INTERIM CHECKPOINT (unaudited, vs H1-2025) — added 03-Sep-2026</t>
        </is>
      </c>
    </row>
    <row r="41">
      <c r="B41" s="56" t="inlineStr">
        <is>
          <t>H1 2026</t>
        </is>
      </c>
      <c r="C41" s="56" t="inlineStr">
        <is>
          <t>H1 2025</t>
        </is>
      </c>
      <c r="D41" s="56" t="inlineStr">
        <is>
          <t>% chg / delta</t>
        </is>
      </c>
    </row>
    <row r="42">
      <c r="A42" t="inlineStr">
        <is>
          <t>Revenue</t>
        </is>
      </c>
      <c r="B42" s="57" t="n">
        <v>492.6</v>
      </c>
      <c r="C42" s="57" t="n">
        <v>458.8</v>
      </c>
      <c r="D42">
        <f>B42/C42-1</f>
        <v/>
      </c>
    </row>
    <row r="43">
      <c r="A43" t="inlineStr">
        <is>
          <t>Americas revenue</t>
        </is>
      </c>
      <c r="B43" s="57" t="n">
        <v>76.2</v>
      </c>
      <c r="C43" s="57" t="n">
        <v>77</v>
      </c>
      <c r="D43">
        <f>B43/C43-1</f>
        <v/>
      </c>
    </row>
    <row r="44">
      <c r="A44" t="inlineStr">
        <is>
          <t>Adj. EBITDA</t>
        </is>
      </c>
      <c r="B44" s="57" t="n">
        <v>85.7</v>
      </c>
      <c r="C44" s="57" t="n">
        <v>84.8</v>
      </c>
      <c r="D44">
        <f>B44/C44-1</f>
        <v/>
      </c>
    </row>
    <row r="45">
      <c r="A45" t="inlineStr">
        <is>
          <t>Adj. EBITDA margin</t>
        </is>
      </c>
      <c r="B45" s="57">
        <f>B44/B42</f>
        <v/>
      </c>
      <c r="C45" s="57">
        <f>C44/C42</f>
        <v/>
      </c>
      <c r="D45">
        <f>B45-C45</f>
        <v/>
      </c>
    </row>
    <row r="46">
      <c r="A46" t="inlineStr">
        <is>
          <t>Recurring FCF (pre-tax)</t>
        </is>
      </c>
      <c r="B46" s="57" t="n">
        <v>20</v>
      </c>
      <c r="C46" s="57" t="n">
        <v>44.2</v>
      </c>
      <c r="D46">
        <f>B46/C46-1</f>
        <v/>
      </c>
    </row>
    <row r="47">
      <c r="A47" s="58" t="inlineStr">
        <is>
          <t>Digital/MyWellness KPI disclosure: none (unchanged).</t>
        </is>
      </c>
    </row>
    <row r="48">
      <c r="A48" s="58" t="inlineStr">
        <is>
          <t>Source: Technogym H1-2026 board press release, 30 Jul 2026 (corporate.technogym.com investor relations). Confirms memo thesis test: Americas did not stabilize (-1.1%), margin broke -- first reversal since the 2021-2025 uptrend shown in row 26 -- and no digital disclosure. HOLD rating and EUR15.72 base fair value unchanged; see 00 Executive Summary.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7" t="inlineStr">
        <is>
          <t>REVENUE BUILD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3">
      <c r="A3" s="2" t="inlineStr">
        <is>
          <t>€m unless noted</t>
        </is>
      </c>
      <c r="B3" s="2" t="inlineStr">
        <is>
          <t>2022A</t>
        </is>
      </c>
      <c r="C3" s="2" t="inlineStr">
        <is>
          <t>2023A</t>
        </is>
      </c>
      <c r="D3" s="2" t="inlineStr">
        <is>
          <t>2024A</t>
        </is>
      </c>
      <c r="E3" s="2" t="inlineStr">
        <is>
          <t>2025A</t>
        </is>
      </c>
      <c r="F3" s="2" t="inlineStr">
        <is>
          <t>2026E</t>
        </is>
      </c>
      <c r="G3" s="2" t="inlineStr">
        <is>
          <t>2027E</t>
        </is>
      </c>
      <c r="H3" s="2" t="inlineStr">
        <is>
          <t>2028E</t>
        </is>
      </c>
      <c r="I3" s="2" t="inlineStr">
        <is>
          <t>2029E</t>
        </is>
      </c>
      <c r="J3" s="2" t="inlineStr">
        <is>
          <t>2030E</t>
        </is>
      </c>
      <c r="K3" s="2" t="inlineStr">
        <is>
          <t>2031E</t>
        </is>
      </c>
      <c r="L3" s="2" t="inlineStr">
        <is>
          <t>2032E</t>
        </is>
      </c>
      <c r="M3" s="2" t="inlineStr">
        <is>
          <t>2033E</t>
        </is>
      </c>
      <c r="N3" s="2" t="inlineStr">
        <is>
          <t>2034E</t>
        </is>
      </c>
      <c r="O3" s="2" t="inlineStr">
        <is>
          <t>2035E</t>
        </is>
      </c>
    </row>
    <row r="4">
      <c r="A4" s="3" t="inlineStr">
        <is>
          <t>Year index (t)</t>
        </is>
      </c>
      <c r="F4" s="17" t="n">
        <v>1</v>
      </c>
      <c r="G4" s="17" t="n">
        <v>2</v>
      </c>
      <c r="H4" s="17" t="n">
        <v>3</v>
      </c>
      <c r="I4" s="17" t="n">
        <v>4</v>
      </c>
      <c r="J4" s="17" t="n">
        <v>5</v>
      </c>
      <c r="K4" s="17" t="n">
        <v>6</v>
      </c>
      <c r="L4" s="17" t="n">
        <v>7</v>
      </c>
      <c r="M4" s="17" t="n">
        <v>8</v>
      </c>
      <c r="N4" s="17" t="n">
        <v>9</v>
      </c>
      <c r="O4" s="17" t="n">
        <v>10</v>
      </c>
    </row>
    <row r="6">
      <c r="A6" s="2" t="inlineStr">
        <is>
          <t>BtoB equipment &amp; services (ex-digital)</t>
        </is>
      </c>
    </row>
    <row r="7">
      <c r="A7" s="3" t="inlineStr">
        <is>
          <t>Growth (base/bull: linear fade; bear: explicit cyclical path row 32)</t>
        </is>
      </c>
      <c r="F7" s="15">
        <f>IF('03 Assumptions'!$B$3=1,F32,'03 Assumptions'!$F$6+('03 Assumptions'!$F$7-'03 Assumptions'!$F$6)*(F4-1)/9)</f>
        <v/>
      </c>
      <c r="G7" s="15">
        <f>IF('03 Assumptions'!$B$3=1,G32,'03 Assumptions'!$F$6+('03 Assumptions'!$F$7-'03 Assumptions'!$F$6)*(G4-1)/9)</f>
        <v/>
      </c>
      <c r="H7" s="15">
        <f>IF('03 Assumptions'!$B$3=1,H32,'03 Assumptions'!$F$6+('03 Assumptions'!$F$7-'03 Assumptions'!$F$6)*(H4-1)/9)</f>
        <v/>
      </c>
      <c r="I7" s="15">
        <f>IF('03 Assumptions'!$B$3=1,I32,'03 Assumptions'!$F$6+('03 Assumptions'!$F$7-'03 Assumptions'!$F$6)*(I4-1)/9)</f>
        <v/>
      </c>
      <c r="J7" s="15">
        <f>IF('03 Assumptions'!$B$3=1,J32,'03 Assumptions'!$F$6+('03 Assumptions'!$F$7-'03 Assumptions'!$F$6)*(J4-1)/9)</f>
        <v/>
      </c>
      <c r="K7" s="15">
        <f>IF('03 Assumptions'!$B$3=1,K32,'03 Assumptions'!$F$6+('03 Assumptions'!$F$7-'03 Assumptions'!$F$6)*(K4-1)/9)</f>
        <v/>
      </c>
      <c r="L7" s="15">
        <f>IF('03 Assumptions'!$B$3=1,L32,'03 Assumptions'!$F$6+('03 Assumptions'!$F$7-'03 Assumptions'!$F$6)*(L4-1)/9)</f>
        <v/>
      </c>
      <c r="M7" s="15">
        <f>IF('03 Assumptions'!$B$3=1,M32,'03 Assumptions'!$F$6+('03 Assumptions'!$F$7-'03 Assumptions'!$F$6)*(M4-1)/9)</f>
        <v/>
      </c>
      <c r="N7" s="15">
        <f>IF('03 Assumptions'!$B$3=1,N32,'03 Assumptions'!$F$6+('03 Assumptions'!$F$7-'03 Assumptions'!$F$6)*(N4-1)/9)</f>
        <v/>
      </c>
      <c r="O7" s="15">
        <f>IF('03 Assumptions'!$B$3=1,O32,'03 Assumptions'!$F$6+('03 Assumptions'!$F$7-'03 Assumptions'!$F$6)*(O4-1)/9)</f>
        <v/>
      </c>
    </row>
    <row r="8">
      <c r="A8" s="3" t="inlineStr">
        <is>
          <t>Revenue</t>
        </is>
      </c>
      <c r="E8" s="18">
        <f>'03 Assumptions'!$B$34</f>
        <v/>
      </c>
      <c r="F8" s="16">
        <f>E8*(1+F7)</f>
        <v/>
      </c>
      <c r="G8" s="16">
        <f>F8*(1+G7)</f>
        <v/>
      </c>
      <c r="H8" s="16">
        <f>G8*(1+H7)</f>
        <v/>
      </c>
      <c r="I8" s="16">
        <f>H8*(1+I7)</f>
        <v/>
      </c>
      <c r="J8" s="16">
        <f>I8*(1+J7)</f>
        <v/>
      </c>
      <c r="K8" s="16">
        <f>J8*(1+K7)</f>
        <v/>
      </c>
      <c r="L8" s="16">
        <f>K8*(1+L7)</f>
        <v/>
      </c>
      <c r="M8" s="16">
        <f>L8*(1+M7)</f>
        <v/>
      </c>
      <c r="N8" s="16">
        <f>M8*(1+N7)</f>
        <v/>
      </c>
      <c r="O8" s="16">
        <f>N8*(1+O7)</f>
        <v/>
      </c>
    </row>
    <row r="10">
      <c r="A10" s="2" t="inlineStr">
        <is>
          <t>BtoC (ex-digital)</t>
        </is>
      </c>
    </row>
    <row r="11">
      <c r="A11" s="3" t="inlineStr">
        <is>
          <t>Growth (linear fade)</t>
        </is>
      </c>
      <c r="F11" s="15">
        <f>'03 Assumptions'!$F$8+('03 Assumptions'!$F$9-'03 Assumptions'!$F$8)*(F4-1)/9</f>
        <v/>
      </c>
      <c r="G11" s="15">
        <f>'03 Assumptions'!$F$8+('03 Assumptions'!$F$9-'03 Assumptions'!$F$8)*(G4-1)/9</f>
        <v/>
      </c>
      <c r="H11" s="15">
        <f>'03 Assumptions'!$F$8+('03 Assumptions'!$F$9-'03 Assumptions'!$F$8)*(H4-1)/9</f>
        <v/>
      </c>
      <c r="I11" s="15">
        <f>'03 Assumptions'!$F$8+('03 Assumptions'!$F$9-'03 Assumptions'!$F$8)*(I4-1)/9</f>
        <v/>
      </c>
      <c r="J11" s="15">
        <f>'03 Assumptions'!$F$8+('03 Assumptions'!$F$9-'03 Assumptions'!$F$8)*(J4-1)/9</f>
        <v/>
      </c>
      <c r="K11" s="15">
        <f>'03 Assumptions'!$F$8+('03 Assumptions'!$F$9-'03 Assumptions'!$F$8)*(K4-1)/9</f>
        <v/>
      </c>
      <c r="L11" s="15">
        <f>'03 Assumptions'!$F$8+('03 Assumptions'!$F$9-'03 Assumptions'!$F$8)*(L4-1)/9</f>
        <v/>
      </c>
      <c r="M11" s="15">
        <f>'03 Assumptions'!$F$8+('03 Assumptions'!$F$9-'03 Assumptions'!$F$8)*(M4-1)/9</f>
        <v/>
      </c>
      <c r="N11" s="15">
        <f>'03 Assumptions'!$F$8+('03 Assumptions'!$F$9-'03 Assumptions'!$F$8)*(N4-1)/9</f>
        <v/>
      </c>
      <c r="O11" s="15">
        <f>'03 Assumptions'!$F$8+('03 Assumptions'!$F$9-'03 Assumptions'!$F$8)*(O4-1)/9</f>
        <v/>
      </c>
    </row>
    <row r="12">
      <c r="A12" s="3" t="inlineStr">
        <is>
          <t>Revenue</t>
        </is>
      </c>
      <c r="E12" s="18">
        <f>'03 Assumptions'!$B$35</f>
        <v/>
      </c>
      <c r="F12" s="16">
        <f>E12*(1+F11)</f>
        <v/>
      </c>
      <c r="G12" s="16">
        <f>F12*(1+G11)</f>
        <v/>
      </c>
      <c r="H12" s="16">
        <f>G12*(1+H11)</f>
        <v/>
      </c>
      <c r="I12" s="16">
        <f>H12*(1+I11)</f>
        <v/>
      </c>
      <c r="J12" s="16">
        <f>I12*(1+J11)</f>
        <v/>
      </c>
      <c r="K12" s="16">
        <f>J12*(1+K11)</f>
        <v/>
      </c>
      <c r="L12" s="16">
        <f>K12*(1+L11)</f>
        <v/>
      </c>
      <c r="M12" s="16">
        <f>L12*(1+M11)</f>
        <v/>
      </c>
      <c r="N12" s="16">
        <f>M12*(1+N11)</f>
        <v/>
      </c>
      <c r="O12" s="16">
        <f>N12*(1+O11)</f>
        <v/>
      </c>
    </row>
    <row r="14">
      <c r="A14" s="2" t="inlineStr">
        <is>
          <t>DIGITAL ESTIMATION BLOCK (L confidence — every input editable on 03)</t>
        </is>
      </c>
    </row>
    <row r="15">
      <c r="A15" s="3" t="inlineStr">
        <is>
          <t>B2B installed sites (#)</t>
        </is>
      </c>
      <c r="E15" s="19">
        <f>'03 Assumptions'!$B$26</f>
        <v/>
      </c>
      <c r="F15" s="17">
        <f>E15*(1+'03 Assumptions'!$B$27)</f>
        <v/>
      </c>
      <c r="G15" s="17">
        <f>F15*(1+'03 Assumptions'!$B$27)</f>
        <v/>
      </c>
      <c r="H15" s="17">
        <f>G15*(1+'03 Assumptions'!$B$27)</f>
        <v/>
      </c>
      <c r="I15" s="17">
        <f>H15*(1+'03 Assumptions'!$B$27)</f>
        <v/>
      </c>
      <c r="J15" s="17">
        <f>I15*(1+'03 Assumptions'!$B$27)</f>
        <v/>
      </c>
      <c r="K15" s="17">
        <f>J15*(1+'03 Assumptions'!$B$27)</f>
        <v/>
      </c>
      <c r="L15" s="17">
        <f>K15*(1+'03 Assumptions'!$B$27)</f>
        <v/>
      </c>
      <c r="M15" s="17">
        <f>L15*(1+'03 Assumptions'!$B$27)</f>
        <v/>
      </c>
      <c r="N15" s="17">
        <f>M15*(1+'03 Assumptions'!$B$27)</f>
        <v/>
      </c>
      <c r="O15" s="17">
        <f>N15*(1+'03 Assumptions'!$B$27)</f>
        <v/>
      </c>
    </row>
    <row r="16">
      <c r="A16" s="3" t="inlineStr">
        <is>
          <t>B2B attach rate (ramp to endpoint by 2030)</t>
        </is>
      </c>
      <c r="E16" s="20">
        <f>'03 Assumptions'!$B$32</f>
        <v/>
      </c>
      <c r="F16" s="15">
        <f>'03 Assumptions'!$B$32+('03 Assumptions'!$F$10-'03 Assumptions'!$B$32)*MIN(F4,5)/5</f>
        <v/>
      </c>
      <c r="G16" s="15">
        <f>'03 Assumptions'!$B$32+('03 Assumptions'!$F$10-'03 Assumptions'!$B$32)*MIN(G4,5)/5</f>
        <v/>
      </c>
      <c r="H16" s="15">
        <f>'03 Assumptions'!$B$32+('03 Assumptions'!$F$10-'03 Assumptions'!$B$32)*MIN(H4,5)/5</f>
        <v/>
      </c>
      <c r="I16" s="15">
        <f>'03 Assumptions'!$B$32+('03 Assumptions'!$F$10-'03 Assumptions'!$B$32)*MIN(I4,5)/5</f>
        <v/>
      </c>
      <c r="J16" s="15">
        <f>'03 Assumptions'!$B$32+('03 Assumptions'!$F$10-'03 Assumptions'!$B$32)*MIN(J4,5)/5</f>
        <v/>
      </c>
      <c r="K16" s="15">
        <f>'03 Assumptions'!$B$32+('03 Assumptions'!$F$10-'03 Assumptions'!$B$32)*MIN(K4,5)/5</f>
        <v/>
      </c>
      <c r="L16" s="15">
        <f>'03 Assumptions'!$B$32+('03 Assumptions'!$F$10-'03 Assumptions'!$B$32)*MIN(L4,5)/5</f>
        <v/>
      </c>
      <c r="M16" s="15">
        <f>'03 Assumptions'!$B$32+('03 Assumptions'!$F$10-'03 Assumptions'!$B$32)*MIN(M4,5)/5</f>
        <v/>
      </c>
      <c r="N16" s="15">
        <f>'03 Assumptions'!$B$32+('03 Assumptions'!$F$10-'03 Assumptions'!$B$32)*MIN(N4,5)/5</f>
        <v/>
      </c>
      <c r="O16" s="15">
        <f>'03 Assumptions'!$B$32+('03 Assumptions'!$F$10-'03 Assumptions'!$B$32)*MIN(O4,5)/5</f>
        <v/>
      </c>
    </row>
    <row r="17">
      <c r="A17" s="3" t="inlineStr">
        <is>
          <t>B2B ARPU (€/site/yr)</t>
        </is>
      </c>
      <c r="E17" s="19">
        <f>'03 Assumptions'!$B$28</f>
        <v/>
      </c>
      <c r="F17" s="17">
        <f>E17*(1+'03 Assumptions'!$F$12)</f>
        <v/>
      </c>
      <c r="G17" s="17">
        <f>F17*(1+'03 Assumptions'!$F$12)</f>
        <v/>
      </c>
      <c r="H17" s="17">
        <f>G17*(1+'03 Assumptions'!$F$12)</f>
        <v/>
      </c>
      <c r="I17" s="17">
        <f>H17*(1+'03 Assumptions'!$F$12)</f>
        <v/>
      </c>
      <c r="J17" s="17">
        <f>I17*(1+'03 Assumptions'!$F$12)</f>
        <v/>
      </c>
      <c r="K17" s="17">
        <f>J17*(1+'03 Assumptions'!$F$12)</f>
        <v/>
      </c>
      <c r="L17" s="17">
        <f>K17*(1+'03 Assumptions'!$F$12)</f>
        <v/>
      </c>
      <c r="M17" s="17">
        <f>L17*(1+'03 Assumptions'!$F$12)</f>
        <v/>
      </c>
      <c r="N17" s="17">
        <f>M17*(1+'03 Assumptions'!$F$12)</f>
        <v/>
      </c>
      <c r="O17" s="17">
        <f>N17*(1+'03 Assumptions'!$F$12)</f>
        <v/>
      </c>
    </row>
    <row r="18">
      <c r="A18" s="3" t="inlineStr">
        <is>
          <t>B2B digital revenue (€m)</t>
        </is>
      </c>
      <c r="E18" s="16">
        <f>E15*E16*E17/1000000</f>
        <v/>
      </c>
      <c r="F18" s="16">
        <f>F15*F16*F17/1000000</f>
        <v/>
      </c>
      <c r="G18" s="16">
        <f>G15*G16*G17/1000000</f>
        <v/>
      </c>
      <c r="H18" s="16">
        <f>H15*H16*H17/1000000</f>
        <v/>
      </c>
      <c r="I18" s="16">
        <f>I15*I16*I17/1000000</f>
        <v/>
      </c>
      <c r="J18" s="16">
        <f>J15*J16*J17/1000000</f>
        <v/>
      </c>
      <c r="K18" s="16">
        <f>K15*K16*K17/1000000</f>
        <v/>
      </c>
      <c r="L18" s="16">
        <f>L15*L16*L17/1000000</f>
        <v/>
      </c>
      <c r="M18" s="16">
        <f>M15*M16*M17/1000000</f>
        <v/>
      </c>
      <c r="N18" s="16">
        <f>N15*N16*N17/1000000</f>
        <v/>
      </c>
      <c r="O18" s="16">
        <f>O15*O16*O17/1000000</f>
        <v/>
      </c>
    </row>
    <row r="20">
      <c r="A20" s="3" t="inlineStr">
        <is>
          <t>Consumer connected homes (#)</t>
        </is>
      </c>
      <c r="E20" s="19">
        <f>'03 Assumptions'!$B$29</f>
        <v/>
      </c>
      <c r="F20" s="17">
        <f>E20*(1+'03 Assumptions'!$B$30)</f>
        <v/>
      </c>
      <c r="G20" s="17">
        <f>F20*(1+'03 Assumptions'!$B$30)</f>
        <v/>
      </c>
      <c r="H20" s="17">
        <f>G20*(1+'03 Assumptions'!$B$30)</f>
        <v/>
      </c>
      <c r="I20" s="17">
        <f>H20*(1+'03 Assumptions'!$B$30)</f>
        <v/>
      </c>
      <c r="J20" s="17">
        <f>I20*(1+'03 Assumptions'!$B$30)</f>
        <v/>
      </c>
      <c r="K20" s="17">
        <f>J20*(1+'03 Assumptions'!$B$30)</f>
        <v/>
      </c>
      <c r="L20" s="17">
        <f>K20*(1+'03 Assumptions'!$B$30)</f>
        <v/>
      </c>
      <c r="M20" s="17">
        <f>L20*(1+'03 Assumptions'!$B$30)</f>
        <v/>
      </c>
      <c r="N20" s="17">
        <f>M20*(1+'03 Assumptions'!$B$30)</f>
        <v/>
      </c>
      <c r="O20" s="17">
        <f>N20*(1+'03 Assumptions'!$B$30)</f>
        <v/>
      </c>
    </row>
    <row r="21">
      <c r="A21" s="3" t="inlineStr">
        <is>
          <t>Consumer attach rate</t>
        </is>
      </c>
      <c r="E21" s="20">
        <f>'03 Assumptions'!$B$33</f>
        <v/>
      </c>
      <c r="F21" s="15">
        <f>'03 Assumptions'!$B$33+('03 Assumptions'!$F$11-'03 Assumptions'!$B$33)*MIN(F4,5)/5</f>
        <v/>
      </c>
      <c r="G21" s="15">
        <f>'03 Assumptions'!$B$33+('03 Assumptions'!$F$11-'03 Assumptions'!$B$33)*MIN(G4,5)/5</f>
        <v/>
      </c>
      <c r="H21" s="15">
        <f>'03 Assumptions'!$B$33+('03 Assumptions'!$F$11-'03 Assumptions'!$B$33)*MIN(H4,5)/5</f>
        <v/>
      </c>
      <c r="I21" s="15">
        <f>'03 Assumptions'!$B$33+('03 Assumptions'!$F$11-'03 Assumptions'!$B$33)*MIN(I4,5)/5</f>
        <v/>
      </c>
      <c r="J21" s="15">
        <f>'03 Assumptions'!$B$33+('03 Assumptions'!$F$11-'03 Assumptions'!$B$33)*MIN(J4,5)/5</f>
        <v/>
      </c>
      <c r="K21" s="15">
        <f>'03 Assumptions'!$B$33+('03 Assumptions'!$F$11-'03 Assumptions'!$B$33)*MIN(K4,5)/5</f>
        <v/>
      </c>
      <c r="L21" s="15">
        <f>'03 Assumptions'!$B$33+('03 Assumptions'!$F$11-'03 Assumptions'!$B$33)*MIN(L4,5)/5</f>
        <v/>
      </c>
      <c r="M21" s="15">
        <f>'03 Assumptions'!$B$33+('03 Assumptions'!$F$11-'03 Assumptions'!$B$33)*MIN(M4,5)/5</f>
        <v/>
      </c>
      <c r="N21" s="15">
        <f>'03 Assumptions'!$B$33+('03 Assumptions'!$F$11-'03 Assumptions'!$B$33)*MIN(N4,5)/5</f>
        <v/>
      </c>
      <c r="O21" s="15">
        <f>'03 Assumptions'!$B$33+('03 Assumptions'!$F$11-'03 Assumptions'!$B$33)*MIN(O4,5)/5</f>
        <v/>
      </c>
    </row>
    <row r="22">
      <c r="A22" s="3" t="inlineStr">
        <is>
          <t>Consumer ARPU (€/user/yr)</t>
        </is>
      </c>
      <c r="E22" s="19">
        <f>'03 Assumptions'!$B$31</f>
        <v/>
      </c>
      <c r="F22" s="17">
        <f>E22*(1+'03 Assumptions'!$F$12)</f>
        <v/>
      </c>
      <c r="G22" s="17">
        <f>F22*(1+'03 Assumptions'!$F$12)</f>
        <v/>
      </c>
      <c r="H22" s="17">
        <f>G22*(1+'03 Assumptions'!$F$12)</f>
        <v/>
      </c>
      <c r="I22" s="17">
        <f>H22*(1+'03 Assumptions'!$F$12)</f>
        <v/>
      </c>
      <c r="J22" s="17">
        <f>I22*(1+'03 Assumptions'!$F$12)</f>
        <v/>
      </c>
      <c r="K22" s="17">
        <f>J22*(1+'03 Assumptions'!$F$12)</f>
        <v/>
      </c>
      <c r="L22" s="17">
        <f>K22*(1+'03 Assumptions'!$F$12)</f>
        <v/>
      </c>
      <c r="M22" s="17">
        <f>L22*(1+'03 Assumptions'!$F$12)</f>
        <v/>
      </c>
      <c r="N22" s="17">
        <f>M22*(1+'03 Assumptions'!$F$12)</f>
        <v/>
      </c>
      <c r="O22" s="17">
        <f>N22*(1+'03 Assumptions'!$F$12)</f>
        <v/>
      </c>
    </row>
    <row r="23">
      <c r="A23" s="3" t="inlineStr">
        <is>
          <t>Consumer digital revenue (€m)</t>
        </is>
      </c>
      <c r="E23" s="16">
        <f>E20*E21*E22/1000000</f>
        <v/>
      </c>
      <c r="F23" s="16">
        <f>F20*F21*F22/1000000</f>
        <v/>
      </c>
      <c r="G23" s="16">
        <f>G20*G21*G22/1000000</f>
        <v/>
      </c>
      <c r="H23" s="16">
        <f>H20*H21*H22/1000000</f>
        <v/>
      </c>
      <c r="I23" s="16">
        <f>I20*I21*I22/1000000</f>
        <v/>
      </c>
      <c r="J23" s="16">
        <f>J20*J21*J22/1000000</f>
        <v/>
      </c>
      <c r="K23" s="16">
        <f>K20*K21*K22/1000000</f>
        <v/>
      </c>
      <c r="L23" s="16">
        <f>L20*L21*L22/1000000</f>
        <v/>
      </c>
      <c r="M23" s="16">
        <f>M20*M21*M22/1000000</f>
        <v/>
      </c>
      <c r="N23" s="16">
        <f>N20*N21*N22/1000000</f>
        <v/>
      </c>
      <c r="O23" s="16">
        <f>O20*O21*O22/1000000</f>
        <v/>
      </c>
    </row>
    <row r="25">
      <c r="A25" s="2" t="inlineStr">
        <is>
          <t>Total digital revenue</t>
        </is>
      </c>
      <c r="E25" s="16">
        <f>E18+E23</f>
        <v/>
      </c>
      <c r="F25" s="16">
        <f>F18+F23</f>
        <v/>
      </c>
      <c r="G25" s="16">
        <f>G18+G23</f>
        <v/>
      </c>
      <c r="H25" s="16">
        <f>H18+H23</f>
        <v/>
      </c>
      <c r="I25" s="16">
        <f>I18+I23</f>
        <v/>
      </c>
      <c r="J25" s="16">
        <f>J18+J23</f>
        <v/>
      </c>
      <c r="K25" s="16">
        <f>K18+K23</f>
        <v/>
      </c>
      <c r="L25" s="16">
        <f>L18+L23</f>
        <v/>
      </c>
      <c r="M25" s="16">
        <f>M18+M23</f>
        <v/>
      </c>
      <c r="N25" s="16">
        <f>N18+N23</f>
        <v/>
      </c>
      <c r="O25" s="16">
        <f>O18+O23</f>
        <v/>
      </c>
    </row>
    <row r="27">
      <c r="A27" s="2" t="inlineStr">
        <is>
          <t>TOTAL REVENUE</t>
        </is>
      </c>
      <c r="E27" s="16">
        <f>E8+E12+E25</f>
        <v/>
      </c>
      <c r="F27" s="16">
        <f>F8+F12+F25</f>
        <v/>
      </c>
      <c r="G27" s="16">
        <f>G8+G12+G25</f>
        <v/>
      </c>
      <c r="H27" s="16">
        <f>H8+H12+H25</f>
        <v/>
      </c>
      <c r="I27" s="16">
        <f>I8+I12+I25</f>
        <v/>
      </c>
      <c r="J27" s="16">
        <f>J8+J12+J25</f>
        <v/>
      </c>
      <c r="K27" s="16">
        <f>K8+K12+K25</f>
        <v/>
      </c>
      <c r="L27" s="16">
        <f>L8+L12+L25</f>
        <v/>
      </c>
      <c r="M27" s="16">
        <f>M8+M12+M25</f>
        <v/>
      </c>
      <c r="N27" s="16">
        <f>N8+N12+N25</f>
        <v/>
      </c>
      <c r="O27" s="16">
        <f>O8+O12+O25</f>
        <v/>
      </c>
    </row>
    <row r="28">
      <c r="A28" s="3" t="inlineStr">
        <is>
          <t>Total growth</t>
        </is>
      </c>
      <c r="F28" s="15">
        <f>F27/E27-1</f>
        <v/>
      </c>
      <c r="G28" s="15">
        <f>G27/F27-1</f>
        <v/>
      </c>
      <c r="H28" s="15">
        <f>H27/G27-1</f>
        <v/>
      </c>
      <c r="I28" s="15">
        <f>I27/H27-1</f>
        <v/>
      </c>
      <c r="J28" s="15">
        <f>J27/I27-1</f>
        <v/>
      </c>
      <c r="K28" s="15">
        <f>K27/J27-1</f>
        <v/>
      </c>
      <c r="L28" s="15">
        <f>L27/K27-1</f>
        <v/>
      </c>
      <c r="M28" s="15">
        <f>M27/L27-1</f>
        <v/>
      </c>
      <c r="N28" s="15">
        <f>N27/M27-1</f>
        <v/>
      </c>
      <c r="O28" s="15">
        <f>O27/N27-1</f>
        <v/>
      </c>
    </row>
    <row r="29">
      <c r="A29" s="3" t="inlineStr">
        <is>
          <t>Digital % of revenue</t>
        </is>
      </c>
      <c r="E29" s="15">
        <f>E25/E27</f>
        <v/>
      </c>
      <c r="F29" s="15">
        <f>F25/F27</f>
        <v/>
      </c>
      <c r="G29" s="15">
        <f>G25/G27</f>
        <v/>
      </c>
      <c r="H29" s="15">
        <f>H25/H27</f>
        <v/>
      </c>
      <c r="I29" s="15">
        <f>I25/I27</f>
        <v/>
      </c>
      <c r="J29" s="15">
        <f>J25/J27</f>
        <v/>
      </c>
      <c r="K29" s="15">
        <f>K25/K27</f>
        <v/>
      </c>
      <c r="L29" s="15">
        <f>L25/L27</f>
        <v/>
      </c>
      <c r="M29" s="15">
        <f>M25/M27</f>
        <v/>
      </c>
      <c r="N29" s="15">
        <f>N25/N27</f>
        <v/>
      </c>
      <c r="O29" s="15">
        <f>O25/O27</f>
        <v/>
      </c>
    </row>
    <row r="31">
      <c r="A31" s="6">
        <f>IF(ABS(E27-1019.3)&lt;1,"CHECK OK: 2025 build ties to reported revenue","ERROR: 2025 revenue build broken")</f>
        <v/>
      </c>
    </row>
    <row r="32">
      <c r="A32" s="3" t="inlineStr">
        <is>
          <t>BEAR BtoB growth path (explicit cyclical: 2027 downturn −10%, recovery from 2029)</t>
        </is>
      </c>
      <c r="F32" s="7" t="n">
        <v>0.04</v>
      </c>
      <c r="G32" s="7" t="n">
        <v>-0.1</v>
      </c>
      <c r="H32" s="7" t="n">
        <v>-0.03</v>
      </c>
      <c r="I32" s="7" t="n">
        <v>0.06</v>
      </c>
      <c r="J32" s="7" t="n">
        <v>0.05</v>
      </c>
      <c r="K32" s="7" t="n">
        <v>0.045</v>
      </c>
      <c r="L32" s="7" t="n">
        <v>0.04</v>
      </c>
      <c r="M32" s="7" t="n">
        <v>0.035</v>
      </c>
      <c r="N32" s="7" t="n">
        <v>0.03</v>
      </c>
      <c r="O32" s="7" t="n">
        <v>0.025</v>
      </c>
    </row>
    <row r="33">
      <c r="A33" s="3" t="inlineStr">
        <is>
          <t>BEAR EBITDA margin path (2027 trough 19.0%, recovers to 21.5%)</t>
        </is>
      </c>
      <c r="F33" s="7" t="n">
        <v>0.205</v>
      </c>
      <c r="G33" s="7" t="n">
        <v>0.19</v>
      </c>
      <c r="H33" s="7" t="n">
        <v>0.198</v>
      </c>
      <c r="I33" s="7" t="n">
        <v>0.205</v>
      </c>
      <c r="J33" s="7" t="n">
        <v>0.208</v>
      </c>
      <c r="K33" s="7" t="n">
        <v>0.21</v>
      </c>
      <c r="L33" s="7" t="n">
        <v>0.212</v>
      </c>
      <c r="M33" s="7" t="n">
        <v>0.213</v>
      </c>
      <c r="N33" s="7" t="n">
        <v>0.214</v>
      </c>
      <c r="O33" s="7" t="n">
        <v>0.215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7" t="inlineStr">
        <is>
          <t>OPERATING MODEL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3">
      <c r="A3" s="2" t="inlineStr">
        <is>
          <t>€m unless noted</t>
        </is>
      </c>
      <c r="F3" s="2" t="inlineStr">
        <is>
          <t>2026E</t>
        </is>
      </c>
      <c r="G3" s="2" t="inlineStr">
        <is>
          <t>2027E</t>
        </is>
      </c>
      <c r="H3" s="2" t="inlineStr">
        <is>
          <t>2028E</t>
        </is>
      </c>
      <c r="I3" s="2" t="inlineStr">
        <is>
          <t>2029E</t>
        </is>
      </c>
      <c r="J3" s="2" t="inlineStr">
        <is>
          <t>2030E</t>
        </is>
      </c>
      <c r="K3" s="2" t="inlineStr">
        <is>
          <t>2031E</t>
        </is>
      </c>
      <c r="L3" s="2" t="inlineStr">
        <is>
          <t>2032E</t>
        </is>
      </c>
      <c r="M3" s="2" t="inlineStr">
        <is>
          <t>2033E</t>
        </is>
      </c>
      <c r="N3" s="2" t="inlineStr">
        <is>
          <t>2034E</t>
        </is>
      </c>
      <c r="O3" s="2" t="inlineStr">
        <is>
          <t>2035E</t>
        </is>
      </c>
    </row>
    <row r="4">
      <c r="A4" s="3" t="inlineStr">
        <is>
          <t>Revenue</t>
        </is>
      </c>
      <c r="F4" s="18">
        <f>'05 Revenue Build'!F27</f>
        <v/>
      </c>
      <c r="G4" s="18">
        <f>'05 Revenue Build'!G27</f>
        <v/>
      </c>
      <c r="H4" s="18">
        <f>'05 Revenue Build'!H27</f>
        <v/>
      </c>
      <c r="I4" s="18">
        <f>'05 Revenue Build'!I27</f>
        <v/>
      </c>
      <c r="J4" s="18">
        <f>'05 Revenue Build'!J27</f>
        <v/>
      </c>
      <c r="K4" s="18">
        <f>'05 Revenue Build'!K27</f>
        <v/>
      </c>
      <c r="L4" s="18">
        <f>'05 Revenue Build'!L27</f>
        <v/>
      </c>
      <c r="M4" s="18">
        <f>'05 Revenue Build'!M27</f>
        <v/>
      </c>
      <c r="N4" s="18">
        <f>'05 Revenue Build'!N27</f>
        <v/>
      </c>
      <c r="O4" s="18">
        <f>'05 Revenue Build'!O27</f>
        <v/>
      </c>
    </row>
    <row r="5">
      <c r="A5" s="3" t="inlineStr">
        <is>
          <t>Total EBITDA margin (OUTPUT = hardware + digital blocks, rows 20-26)</t>
        </is>
      </c>
      <c r="F5" s="15">
        <f>F6/F4</f>
        <v/>
      </c>
      <c r="G5" s="15">
        <f>G6/G4</f>
        <v/>
      </c>
      <c r="H5" s="15">
        <f>H6/H4</f>
        <v/>
      </c>
      <c r="I5" s="15">
        <f>I6/I4</f>
        <v/>
      </c>
      <c r="J5" s="15">
        <f>J6/J4</f>
        <v/>
      </c>
      <c r="K5" s="15">
        <f>K6/K4</f>
        <v/>
      </c>
      <c r="L5" s="15">
        <f>L6/L4</f>
        <v/>
      </c>
      <c r="M5" s="15">
        <f>M6/M4</f>
        <v/>
      </c>
      <c r="N5" s="15">
        <f>N6/N4</f>
        <v/>
      </c>
      <c r="O5" s="15">
        <f>O6/O4</f>
        <v/>
      </c>
    </row>
    <row r="6">
      <c r="A6" s="2" t="inlineStr">
        <is>
          <t>EBITDA</t>
        </is>
      </c>
      <c r="F6" s="16">
        <f>IF('03 Assumptions'!$B$3=1,F4*'05 Revenue Build'!F33,F26)</f>
        <v/>
      </c>
      <c r="G6" s="16">
        <f>IF('03 Assumptions'!$B$3=1,G4*'05 Revenue Build'!G33,G26)</f>
        <v/>
      </c>
      <c r="H6" s="16">
        <f>IF('03 Assumptions'!$B$3=1,H4*'05 Revenue Build'!H33,H26)</f>
        <v/>
      </c>
      <c r="I6" s="16">
        <f>IF('03 Assumptions'!$B$3=1,I4*'05 Revenue Build'!I33,I26)</f>
        <v/>
      </c>
      <c r="J6" s="16">
        <f>IF('03 Assumptions'!$B$3=1,J4*'05 Revenue Build'!J33,J26)</f>
        <v/>
      </c>
      <c r="K6" s="16">
        <f>IF('03 Assumptions'!$B$3=1,K4*'05 Revenue Build'!K33,K26)</f>
        <v/>
      </c>
      <c r="L6" s="16">
        <f>IF('03 Assumptions'!$B$3=1,L4*'05 Revenue Build'!L33,L26)</f>
        <v/>
      </c>
      <c r="M6" s="16">
        <f>IF('03 Assumptions'!$B$3=1,M4*'05 Revenue Build'!M33,M26)</f>
        <v/>
      </c>
      <c r="N6" s="16">
        <f>IF('03 Assumptions'!$B$3=1,N4*'05 Revenue Build'!N33,N26)</f>
        <v/>
      </c>
      <c r="O6" s="16">
        <f>IF('03 Assumptions'!$B$3=1,O4*'05 Revenue Build'!O33,O26)</f>
        <v/>
      </c>
    </row>
    <row r="7">
      <c r="A7" s="3" t="inlineStr">
        <is>
          <t>D&amp;A (% revenue)</t>
        </is>
      </c>
      <c r="F7" s="16">
        <f>-F4*'03 Assumptions'!$B$22</f>
        <v/>
      </c>
      <c r="G7" s="16">
        <f>-G4*'03 Assumptions'!$B$22</f>
        <v/>
      </c>
      <c r="H7" s="16">
        <f>-H4*'03 Assumptions'!$B$22</f>
        <v/>
      </c>
      <c r="I7" s="16">
        <f>-I4*'03 Assumptions'!$B$22</f>
        <v/>
      </c>
      <c r="J7" s="16">
        <f>-J4*'03 Assumptions'!$B$22</f>
        <v/>
      </c>
      <c r="K7" s="16">
        <f>-K4*'03 Assumptions'!$B$22</f>
        <v/>
      </c>
      <c r="L7" s="16">
        <f>-L4*'03 Assumptions'!$B$22</f>
        <v/>
      </c>
      <c r="M7" s="16">
        <f>-M4*'03 Assumptions'!$B$22</f>
        <v/>
      </c>
      <c r="N7" s="16">
        <f>-N4*'03 Assumptions'!$B$22</f>
        <v/>
      </c>
      <c r="O7" s="16">
        <f>-O4*'03 Assumptions'!$B$22</f>
        <v/>
      </c>
    </row>
    <row r="8">
      <c r="A8" s="2" t="inlineStr">
        <is>
          <t>EBIT</t>
        </is>
      </c>
      <c r="F8" s="16">
        <f>F6+F7</f>
        <v/>
      </c>
      <c r="G8" s="16">
        <f>G6+G7</f>
        <v/>
      </c>
      <c r="H8" s="16">
        <f>H6+H7</f>
        <v/>
      </c>
      <c r="I8" s="16">
        <f>I6+I7</f>
        <v/>
      </c>
      <c r="J8" s="16">
        <f>J6+J7</f>
        <v/>
      </c>
      <c r="K8" s="16">
        <f>K6+K7</f>
        <v/>
      </c>
      <c r="L8" s="16">
        <f>L6+L7</f>
        <v/>
      </c>
      <c r="M8" s="16">
        <f>M6+M7</f>
        <v/>
      </c>
      <c r="N8" s="16">
        <f>N6+N7</f>
        <v/>
      </c>
      <c r="O8" s="16">
        <f>O6+O7</f>
        <v/>
      </c>
    </row>
    <row r="9">
      <c r="A9" s="3" t="inlineStr">
        <is>
          <t>Tax on EBIT</t>
        </is>
      </c>
      <c r="F9" s="16">
        <f>-F8*'03 Assumptions'!$B$21</f>
        <v/>
      </c>
      <c r="G9" s="16">
        <f>-G8*'03 Assumptions'!$B$21</f>
        <v/>
      </c>
      <c r="H9" s="16">
        <f>-H8*'03 Assumptions'!$B$21</f>
        <v/>
      </c>
      <c r="I9" s="16">
        <f>-I8*'03 Assumptions'!$B$21</f>
        <v/>
      </c>
      <c r="J9" s="16">
        <f>-J8*'03 Assumptions'!$B$21</f>
        <v/>
      </c>
      <c r="K9" s="16">
        <f>-K8*'03 Assumptions'!$B$21</f>
        <v/>
      </c>
      <c r="L9" s="16">
        <f>-L8*'03 Assumptions'!$B$21</f>
        <v/>
      </c>
      <c r="M9" s="16">
        <f>-M8*'03 Assumptions'!$B$21</f>
        <v/>
      </c>
      <c r="N9" s="16">
        <f>-N8*'03 Assumptions'!$B$21</f>
        <v/>
      </c>
      <c r="O9" s="16">
        <f>-O8*'03 Assumptions'!$B$21</f>
        <v/>
      </c>
    </row>
    <row r="10">
      <c r="A10" s="2" t="inlineStr">
        <is>
          <t>NOPAT</t>
        </is>
      </c>
      <c r="F10" s="16">
        <f>F8+F9</f>
        <v/>
      </c>
      <c r="G10" s="16">
        <f>G8+G9</f>
        <v/>
      </c>
      <c r="H10" s="16">
        <f>H8+H9</f>
        <v/>
      </c>
      <c r="I10" s="16">
        <f>I8+I9</f>
        <v/>
      </c>
      <c r="J10" s="16">
        <f>J8+J9</f>
        <v/>
      </c>
      <c r="K10" s="16">
        <f>K8+K9</f>
        <v/>
      </c>
      <c r="L10" s="16">
        <f>L8+L9</f>
        <v/>
      </c>
      <c r="M10" s="16">
        <f>M8+M9</f>
        <v/>
      </c>
      <c r="N10" s="16">
        <f>N8+N9</f>
        <v/>
      </c>
      <c r="O10" s="16">
        <f>O8+O9</f>
        <v/>
      </c>
    </row>
    <row r="12">
      <c r="A12" s="3" t="inlineStr">
        <is>
          <t>EBIT margin</t>
        </is>
      </c>
      <c r="F12" s="15">
        <f>F8/F4</f>
        <v/>
      </c>
      <c r="G12" s="15">
        <f>G8/G4</f>
        <v/>
      </c>
      <c r="H12" s="15">
        <f>H8/H4</f>
        <v/>
      </c>
      <c r="I12" s="15">
        <f>I8/I4</f>
        <v/>
      </c>
      <c r="J12" s="15">
        <f>J8/J4</f>
        <v/>
      </c>
      <c r="K12" s="15">
        <f>K8/K4</f>
        <v/>
      </c>
      <c r="L12" s="15">
        <f>L8/L4</f>
        <v/>
      </c>
      <c r="M12" s="15">
        <f>M8/M4</f>
        <v/>
      </c>
      <c r="N12" s="15">
        <f>N8/N4</f>
        <v/>
      </c>
      <c r="O12" s="15">
        <f>O8/O4</f>
        <v/>
      </c>
    </row>
    <row r="13">
      <c r="A13" s="6">
        <f>IF(AND(F5&gt;0.1,O5&lt;0.35),"CHECK OK: margins in sane range","CHECK: margin path out of range")</f>
        <v/>
      </c>
    </row>
    <row r="15">
      <c r="A15" s="3" t="inlineStr">
        <is>
          <t>Note: SBC immaterial (&lt;0.35% dilution) — not modeled. Non-recurring items excluded (adjusted basis).</t>
        </is>
      </c>
    </row>
    <row r="17">
      <c r="A17" t="inlineStr">
        <is>
          <t>Margin note: 17.5% (2021) -&gt; 21.6% (2025) benefited from post-COVID pent-up demand, supply-chain normalisation and one-time procurement gains. Sustaining a 23.5% TOTAL by 2032 needs the digital/services mix shift + operating leverage, not more procurement.</t>
        </is>
      </c>
    </row>
    <row r="19">
      <c r="A19" t="inlineStr">
        <is>
          <t>DIGITAL-ISOLATED EBITDA BUILD (v3) — base/bull isolate; bear uses explicit cyclical total-margin path (05!row33)</t>
        </is>
      </c>
    </row>
    <row r="20">
      <c r="A20" t="inlineStr">
        <is>
          <t>Hardware revenue (ex-digital)</t>
        </is>
      </c>
      <c r="F20">
        <f>'05 Revenue Build'!F8+'05 Revenue Build'!F12</f>
        <v/>
      </c>
      <c r="G20">
        <f>'05 Revenue Build'!G8+'05 Revenue Build'!G12</f>
        <v/>
      </c>
      <c r="H20">
        <f>'05 Revenue Build'!H8+'05 Revenue Build'!H12</f>
        <v/>
      </c>
      <c r="I20">
        <f>'05 Revenue Build'!I8+'05 Revenue Build'!I12</f>
        <v/>
      </c>
      <c r="J20">
        <f>'05 Revenue Build'!J8+'05 Revenue Build'!J12</f>
        <v/>
      </c>
      <c r="K20">
        <f>'05 Revenue Build'!K8+'05 Revenue Build'!K12</f>
        <v/>
      </c>
      <c r="L20">
        <f>'05 Revenue Build'!L8+'05 Revenue Build'!L12</f>
        <v/>
      </c>
      <c r="M20">
        <f>'05 Revenue Build'!M8+'05 Revenue Build'!M12</f>
        <v/>
      </c>
      <c r="N20">
        <f>'05 Revenue Build'!N8+'05 Revenue Build'!N12</f>
        <v/>
      </c>
      <c r="O20">
        <f>'05 Revenue Build'!O8+'05 Revenue Build'!O12</f>
        <v/>
      </c>
    </row>
    <row r="21">
      <c r="A21" t="inlineStr">
        <is>
          <t>Digital revenue</t>
        </is>
      </c>
      <c r="F21">
        <f>'05 Revenue Build'!F25</f>
        <v/>
      </c>
      <c r="G21">
        <f>'05 Revenue Build'!G25</f>
        <v/>
      </c>
      <c r="H21">
        <f>'05 Revenue Build'!H25</f>
        <v/>
      </c>
      <c r="I21">
        <f>'05 Revenue Build'!I25</f>
        <v/>
      </c>
      <c r="J21">
        <f>'05 Revenue Build'!J25</f>
        <v/>
      </c>
      <c r="K21">
        <f>'05 Revenue Build'!K25</f>
        <v/>
      </c>
      <c r="L21">
        <f>'05 Revenue Build'!L25</f>
        <v/>
      </c>
      <c r="M21">
        <f>'05 Revenue Build'!M25</f>
        <v/>
      </c>
      <c r="N21">
        <f>'05 Revenue Build'!N25</f>
        <v/>
      </c>
      <c r="O21">
        <f>'05 Revenue Build'!O25</f>
        <v/>
      </c>
    </row>
    <row r="22">
      <c r="A22" t="inlineStr">
        <is>
          <t>Hardware 2025 EBITDA margin (derived to tie reported EUR 220.1m)</t>
        </is>
      </c>
      <c r="B22">
        <f>(220.1-'03 Assumptions'!B36*'03 Assumptions'!F18)/('03 Assumptions'!B34+'03 Assumptions'!B35)</f>
        <v/>
      </c>
    </row>
    <row r="23">
      <c r="A23" t="inlineStr">
        <is>
          <t>Hardware EBITDA margin (path B22 -&gt; 03!F13 endpoint by 2032)</t>
        </is>
      </c>
      <c r="F23">
        <f>$B$22+('03 Assumptions'!$F$13-$B$22)*MIN('05 Revenue Build'!F$4,7)/7</f>
        <v/>
      </c>
      <c r="G23">
        <f>$B$22+('03 Assumptions'!$F$13-$B$22)*MIN('05 Revenue Build'!G$4,7)/7</f>
        <v/>
      </c>
      <c r="H23">
        <f>$B$22+('03 Assumptions'!$F$13-$B$22)*MIN('05 Revenue Build'!H$4,7)/7</f>
        <v/>
      </c>
      <c r="I23">
        <f>$B$22+('03 Assumptions'!$F$13-$B$22)*MIN('05 Revenue Build'!I$4,7)/7</f>
        <v/>
      </c>
      <c r="J23">
        <f>$B$22+('03 Assumptions'!$F$13-$B$22)*MIN('05 Revenue Build'!J$4,7)/7</f>
        <v/>
      </c>
      <c r="K23">
        <f>$B$22+('03 Assumptions'!$F$13-$B$22)*MIN('05 Revenue Build'!K$4,7)/7</f>
        <v/>
      </c>
      <c r="L23">
        <f>$B$22+('03 Assumptions'!$F$13-$B$22)*MIN('05 Revenue Build'!L$4,7)/7</f>
        <v/>
      </c>
      <c r="M23">
        <f>$B$22+('03 Assumptions'!$F$13-$B$22)*MIN('05 Revenue Build'!M$4,7)/7</f>
        <v/>
      </c>
      <c r="N23">
        <f>$B$22+('03 Assumptions'!$F$13-$B$22)*MIN('05 Revenue Build'!N$4,7)/7</f>
        <v/>
      </c>
      <c r="O23">
        <f>$B$22+('03 Assumptions'!$F$13-$B$22)*MIN('05 Revenue Build'!O$4,7)/7</f>
        <v/>
      </c>
    </row>
    <row r="24">
      <c r="A24" t="inlineStr">
        <is>
          <t>Hardware EBITDA</t>
        </is>
      </c>
      <c r="F24">
        <f>F20*F23</f>
        <v/>
      </c>
      <c r="G24">
        <f>G20*G23</f>
        <v/>
      </c>
      <c r="H24">
        <f>H20*H23</f>
        <v/>
      </c>
      <c r="I24">
        <f>I20*I23</f>
        <v/>
      </c>
      <c r="J24">
        <f>J20*J23</f>
        <v/>
      </c>
      <c r="K24">
        <f>K20*K23</f>
        <v/>
      </c>
      <c r="L24">
        <f>L20*L23</f>
        <v/>
      </c>
      <c r="M24">
        <f>M20*M23</f>
        <v/>
      </c>
      <c r="N24">
        <f>N20*N23</f>
        <v/>
      </c>
      <c r="O24">
        <f>O20*O23</f>
        <v/>
      </c>
    </row>
    <row r="25">
      <c r="A25" t="inlineStr">
        <is>
          <t>Digital EBITDA (margin = 03!F18)</t>
        </is>
      </c>
      <c r="F25">
        <f>F21*'03 Assumptions'!$F$18</f>
        <v/>
      </c>
      <c r="G25">
        <f>G21*'03 Assumptions'!$F$18</f>
        <v/>
      </c>
      <c r="H25">
        <f>H21*'03 Assumptions'!$F$18</f>
        <v/>
      </c>
      <c r="I25">
        <f>I21*'03 Assumptions'!$F$18</f>
        <v/>
      </c>
      <c r="J25">
        <f>J21*'03 Assumptions'!$F$18</f>
        <v/>
      </c>
      <c r="K25">
        <f>K21*'03 Assumptions'!$F$18</f>
        <v/>
      </c>
      <c r="L25">
        <f>L21*'03 Assumptions'!$F$18</f>
        <v/>
      </c>
      <c r="M25">
        <f>M21*'03 Assumptions'!$F$18</f>
        <v/>
      </c>
      <c r="N25">
        <f>N21*'03 Assumptions'!$F$18</f>
        <v/>
      </c>
      <c r="O25">
        <f>O21*'03 Assumptions'!$F$18</f>
        <v/>
      </c>
    </row>
    <row r="26">
      <c r="A26" t="inlineStr">
        <is>
          <t>TOTAL EBITDA (hardware + digital) [feeds row 6 in base/bull]</t>
        </is>
      </c>
      <c r="F26">
        <f>F24+F25</f>
        <v/>
      </c>
      <c r="G26">
        <f>G24+G25</f>
        <v/>
      </c>
      <c r="H26">
        <f>H24+H25</f>
        <v/>
      </c>
      <c r="I26">
        <f>I24+I25</f>
        <v/>
      </c>
      <c r="J26">
        <f>J24+J25</f>
        <v/>
      </c>
      <c r="K26">
        <f>K24+K25</f>
        <v/>
      </c>
      <c r="L26">
        <f>L24+L25</f>
        <v/>
      </c>
      <c r="M26">
        <f>M24+M25</f>
        <v/>
      </c>
      <c r="N26">
        <f>N24+N25</f>
        <v/>
      </c>
      <c r="O26">
        <f>O24+O25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7" t="inlineStr">
        <is>
          <t>WORKING CAPITAL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3">
      <c r="A3" s="2" t="inlineStr">
        <is>
          <t>€m unless noted</t>
        </is>
      </c>
      <c r="F3" s="2" t="inlineStr">
        <is>
          <t>2026E</t>
        </is>
      </c>
      <c r="G3" s="2" t="inlineStr">
        <is>
          <t>2027E</t>
        </is>
      </c>
      <c r="H3" s="2" t="inlineStr">
        <is>
          <t>2028E</t>
        </is>
      </c>
      <c r="I3" s="2" t="inlineStr">
        <is>
          <t>2029E</t>
        </is>
      </c>
      <c r="J3" s="2" t="inlineStr">
        <is>
          <t>2030E</t>
        </is>
      </c>
      <c r="K3" s="2" t="inlineStr">
        <is>
          <t>2031E</t>
        </is>
      </c>
      <c r="L3" s="2" t="inlineStr">
        <is>
          <t>2032E</t>
        </is>
      </c>
      <c r="M3" s="2" t="inlineStr">
        <is>
          <t>2033E</t>
        </is>
      </c>
      <c r="N3" s="2" t="inlineStr">
        <is>
          <t>2034E</t>
        </is>
      </c>
      <c r="O3" s="2" t="inlineStr">
        <is>
          <t>2035E</t>
        </is>
      </c>
    </row>
    <row r="4">
      <c r="A4" s="3" t="inlineStr">
        <is>
          <t>Revenue</t>
        </is>
      </c>
      <c r="F4" s="18">
        <f>'05 Revenue Build'!F27</f>
        <v/>
      </c>
      <c r="G4" s="18">
        <f>'05 Revenue Build'!G27</f>
        <v/>
      </c>
      <c r="H4" s="18">
        <f>'05 Revenue Build'!H27</f>
        <v/>
      </c>
      <c r="I4" s="18">
        <f>'05 Revenue Build'!I27</f>
        <v/>
      </c>
      <c r="J4" s="18">
        <f>'05 Revenue Build'!J27</f>
        <v/>
      </c>
      <c r="K4" s="18">
        <f>'05 Revenue Build'!K27</f>
        <v/>
      </c>
      <c r="L4" s="18">
        <f>'05 Revenue Build'!L27</f>
        <v/>
      </c>
      <c r="M4" s="18">
        <f>'05 Revenue Build'!M27</f>
        <v/>
      </c>
      <c r="N4" s="18">
        <f>'05 Revenue Build'!N27</f>
        <v/>
      </c>
      <c r="O4" s="18">
        <f>'05 Revenue Build'!O27</f>
        <v/>
      </c>
    </row>
    <row r="5">
      <c r="A5" s="3" t="inlineStr">
        <is>
          <t>DSO (days, incl. scenario stress)</t>
        </is>
      </c>
      <c r="F5" s="16">
        <f>'03 Assumptions'!$B$45+'03 Assumptions'!$F$15</f>
        <v/>
      </c>
      <c r="G5" s="16">
        <f>'03 Assumptions'!$B$45+'03 Assumptions'!$F$15</f>
        <v/>
      </c>
      <c r="H5" s="16">
        <f>'03 Assumptions'!$B$45+'03 Assumptions'!$F$15</f>
        <v/>
      </c>
      <c r="I5" s="16">
        <f>'03 Assumptions'!$B$45+'03 Assumptions'!$F$15</f>
        <v/>
      </c>
      <c r="J5" s="16">
        <f>'03 Assumptions'!$B$45+'03 Assumptions'!$F$15</f>
        <v/>
      </c>
      <c r="K5" s="16">
        <f>'03 Assumptions'!$B$45+'03 Assumptions'!$F$15</f>
        <v/>
      </c>
      <c r="L5" s="16">
        <f>'03 Assumptions'!$B$45+'03 Assumptions'!$F$15</f>
        <v/>
      </c>
      <c r="M5" s="16">
        <f>'03 Assumptions'!$B$45+'03 Assumptions'!$F$15</f>
        <v/>
      </c>
      <c r="N5" s="16">
        <f>'03 Assumptions'!$B$45+'03 Assumptions'!$F$15</f>
        <v/>
      </c>
      <c r="O5" s="16">
        <f>'03 Assumptions'!$B$45+'03 Assumptions'!$F$15</f>
        <v/>
      </c>
    </row>
    <row r="6">
      <c r="A6" s="3" t="inlineStr">
        <is>
          <t>DIO (days on materials)</t>
        </is>
      </c>
      <c r="F6" s="18">
        <f>'03 Assumptions'!$B$46</f>
        <v/>
      </c>
      <c r="G6" s="18">
        <f>'03 Assumptions'!$B$46</f>
        <v/>
      </c>
      <c r="H6" s="18">
        <f>'03 Assumptions'!$B$46</f>
        <v/>
      </c>
      <c r="I6" s="18">
        <f>'03 Assumptions'!$B$46</f>
        <v/>
      </c>
      <c r="J6" s="18">
        <f>'03 Assumptions'!$B$46</f>
        <v/>
      </c>
      <c r="K6" s="18">
        <f>'03 Assumptions'!$B$46</f>
        <v/>
      </c>
      <c r="L6" s="18">
        <f>'03 Assumptions'!$B$46</f>
        <v/>
      </c>
      <c r="M6" s="18">
        <f>'03 Assumptions'!$B$46</f>
        <v/>
      </c>
      <c r="N6" s="18">
        <f>'03 Assumptions'!$B$46</f>
        <v/>
      </c>
      <c r="O6" s="18">
        <f>'03 Assumptions'!$B$46</f>
        <v/>
      </c>
    </row>
    <row r="7">
      <c r="A7" s="3" t="inlineStr">
        <is>
          <t>DPO (days on materials; bear compresses)</t>
        </is>
      </c>
      <c r="F7" s="16">
        <f>'03 Assumptions'!$B$47-IF('03 Assumptions'!$B$3=1,'03 Assumptions'!$B$49,0)</f>
        <v/>
      </c>
      <c r="G7" s="16">
        <f>'03 Assumptions'!$B$47-IF('03 Assumptions'!$B$3=1,'03 Assumptions'!$B$49,0)</f>
        <v/>
      </c>
      <c r="H7" s="16">
        <f>'03 Assumptions'!$B$47-IF('03 Assumptions'!$B$3=1,'03 Assumptions'!$B$49,0)</f>
        <v/>
      </c>
      <c r="I7" s="16">
        <f>'03 Assumptions'!$B$47-IF('03 Assumptions'!$B$3=1,'03 Assumptions'!$B$49,0)</f>
        <v/>
      </c>
      <c r="J7" s="16">
        <f>'03 Assumptions'!$B$47-IF('03 Assumptions'!$B$3=1,'03 Assumptions'!$B$49,0)</f>
        <v/>
      </c>
      <c r="K7" s="16">
        <f>'03 Assumptions'!$B$47-IF('03 Assumptions'!$B$3=1,'03 Assumptions'!$B$49,0)</f>
        <v/>
      </c>
      <c r="L7" s="16">
        <f>'03 Assumptions'!$B$47-IF('03 Assumptions'!$B$3=1,'03 Assumptions'!$B$49,0)</f>
        <v/>
      </c>
      <c r="M7" s="16">
        <f>'03 Assumptions'!$B$47-IF('03 Assumptions'!$B$3=1,'03 Assumptions'!$B$49,0)</f>
        <v/>
      </c>
      <c r="N7" s="16">
        <f>'03 Assumptions'!$B$47-IF('03 Assumptions'!$B$3=1,'03 Assumptions'!$B$49,0)</f>
        <v/>
      </c>
      <c r="O7" s="16">
        <f>'03 Assumptions'!$B$47-IF('03 Assumptions'!$B$3=1,'03 Assumptions'!$B$49,0)</f>
        <v/>
      </c>
    </row>
    <row r="8">
      <c r="A8" s="3" t="inlineStr">
        <is>
          <t>Net working capital = Rev x DSO/365 + Mat x (DIO-DPO)/365</t>
        </is>
      </c>
      <c r="F8" s="16">
        <f>F4*(F5/365+'03 Assumptions'!$B$48*(F6-F7)/365)</f>
        <v/>
      </c>
      <c r="G8" s="16">
        <f>G4*(G5/365+'03 Assumptions'!$B$48*(G6-G7)/365)</f>
        <v/>
      </c>
      <c r="H8" s="16">
        <f>H4*(H5/365+'03 Assumptions'!$B$48*(H6-H7)/365)</f>
        <v/>
      </c>
      <c r="I8" s="16">
        <f>I4*(I5/365+'03 Assumptions'!$B$48*(I6-I7)/365)</f>
        <v/>
      </c>
      <c r="J8" s="16">
        <f>J4*(J5/365+'03 Assumptions'!$B$48*(J6-J7)/365)</f>
        <v/>
      </c>
      <c r="K8" s="16">
        <f>K4*(K5/365+'03 Assumptions'!$B$48*(K6-K7)/365)</f>
        <v/>
      </c>
      <c r="L8" s="16">
        <f>L4*(L5/365+'03 Assumptions'!$B$48*(L6-L7)/365)</f>
        <v/>
      </c>
      <c r="M8" s="16">
        <f>M4*(M5/365+'03 Assumptions'!$B$48*(M6-M7)/365)</f>
        <v/>
      </c>
      <c r="N8" s="16">
        <f>N4*(N5/365+'03 Assumptions'!$B$48*(N6-N7)/365)</f>
        <v/>
      </c>
      <c r="O8" s="16">
        <f>O4*(O5/365+'03 Assumptions'!$B$48*(O6-O7)/365)</f>
        <v/>
      </c>
    </row>
    <row r="9">
      <c r="A9" s="2" t="inlineStr">
        <is>
          <t>Change in NWC (- = cash out)</t>
        </is>
      </c>
      <c r="F9" s="16">
        <f>-(F8-(1019.3*(F5/365+'03 Assumptions'!$B$48*(F6-'03 Assumptions'!$B$47)/365)))</f>
        <v/>
      </c>
      <c r="G9" s="16">
        <f>-(G8-F8)</f>
        <v/>
      </c>
      <c r="H9" s="16">
        <f>-(H8-G8)</f>
        <v/>
      </c>
      <c r="I9" s="16">
        <f>-(I8-H8)</f>
        <v/>
      </c>
      <c r="J9" s="16">
        <f>-(J8-I8)</f>
        <v/>
      </c>
      <c r="K9" s="16">
        <f>-(K8-J8)</f>
        <v/>
      </c>
      <c r="L9" s="16">
        <f>-(L8-K8)</f>
        <v/>
      </c>
      <c r="M9" s="16">
        <f>-(M8-L8)</f>
        <v/>
      </c>
      <c r="N9" s="16">
        <f>-(N8-M8)</f>
        <v/>
      </c>
      <c r="O9" s="16">
        <f>-(O8-N8)</f>
        <v/>
      </c>
    </row>
    <row r="12">
      <c r="A12" s="3" t="inlineStr">
        <is>
          <t>Effective NWC % of revenue (helper for grids)</t>
        </is>
      </c>
      <c r="B12" s="15">
        <f>F8/F4</f>
        <v/>
      </c>
    </row>
    <row r="13">
      <c r="A13" s="3" t="inlineStr">
        <is>
          <t>2025 actual days: DSO 47.3 / DIO 127 / DPO 221 (ties to ~49m NWC = 4.9% rev). Bear stress: DSO +10d, DPO -30d</t>
        </is>
      </c>
    </row>
    <row r="14">
      <c r="A14" s="3" t="inlineStr">
        <is>
          <t>(gym customers slow-pay; supplier terms tighten in downturns). 2026 change computed vs unstressed-DPO 2025 base.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7" t="inlineStr">
        <is>
          <t>CAPEX &amp; DEPRECIATION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3">
      <c r="A3" s="2" t="inlineStr">
        <is>
          <t>€m unless noted</t>
        </is>
      </c>
      <c r="F3" s="2" t="inlineStr">
        <is>
          <t>2026E</t>
        </is>
      </c>
      <c r="G3" s="2" t="inlineStr">
        <is>
          <t>2027E</t>
        </is>
      </c>
      <c r="H3" s="2" t="inlineStr">
        <is>
          <t>2028E</t>
        </is>
      </c>
      <c r="I3" s="2" t="inlineStr">
        <is>
          <t>2029E</t>
        </is>
      </c>
      <c r="J3" s="2" t="inlineStr">
        <is>
          <t>2030E</t>
        </is>
      </c>
      <c r="K3" s="2" t="inlineStr">
        <is>
          <t>2031E</t>
        </is>
      </c>
      <c r="L3" s="2" t="inlineStr">
        <is>
          <t>2032E</t>
        </is>
      </c>
      <c r="M3" s="2" t="inlineStr">
        <is>
          <t>2033E</t>
        </is>
      </c>
      <c r="N3" s="2" t="inlineStr">
        <is>
          <t>2034E</t>
        </is>
      </c>
      <c r="O3" s="2" t="inlineStr">
        <is>
          <t>2035E</t>
        </is>
      </c>
    </row>
    <row r="4">
      <c r="A4" s="3" t="inlineStr">
        <is>
          <t>Revenue</t>
        </is>
      </c>
      <c r="F4" s="18">
        <f>'05 Revenue Build'!F27</f>
        <v/>
      </c>
      <c r="G4" s="18">
        <f>'05 Revenue Build'!G27</f>
        <v/>
      </c>
      <c r="H4" s="18">
        <f>'05 Revenue Build'!H27</f>
        <v/>
      </c>
      <c r="I4" s="18">
        <f>'05 Revenue Build'!I27</f>
        <v/>
      </c>
      <c r="J4" s="18">
        <f>'05 Revenue Build'!J27</f>
        <v/>
      </c>
      <c r="K4" s="18">
        <f>'05 Revenue Build'!K27</f>
        <v/>
      </c>
      <c r="L4" s="18">
        <f>'05 Revenue Build'!L27</f>
        <v/>
      </c>
      <c r="M4" s="18">
        <f>'05 Revenue Build'!M27</f>
        <v/>
      </c>
      <c r="N4" s="18">
        <f>'05 Revenue Build'!N27</f>
        <v/>
      </c>
      <c r="O4" s="18">
        <f>'05 Revenue Build'!O27</f>
        <v/>
      </c>
    </row>
    <row r="5">
      <c r="A5" s="3" t="inlineStr">
        <is>
          <t>Capex % revenue (scenario)</t>
        </is>
      </c>
      <c r="F5" s="20">
        <f>'03 Assumptions'!$F$14</f>
        <v/>
      </c>
      <c r="G5" s="20">
        <f>'03 Assumptions'!$F$14</f>
        <v/>
      </c>
      <c r="H5" s="20">
        <f>'03 Assumptions'!$F$14</f>
        <v/>
      </c>
      <c r="I5" s="20">
        <f>'03 Assumptions'!$F$14</f>
        <v/>
      </c>
      <c r="J5" s="20">
        <f>'03 Assumptions'!$F$14</f>
        <v/>
      </c>
      <c r="K5" s="20">
        <f>'03 Assumptions'!$F$14</f>
        <v/>
      </c>
      <c r="L5" s="20">
        <f>'03 Assumptions'!$F$14</f>
        <v/>
      </c>
      <c r="M5" s="20">
        <f>'03 Assumptions'!$F$14</f>
        <v/>
      </c>
      <c r="N5" s="20">
        <f>'03 Assumptions'!$F$14</f>
        <v/>
      </c>
      <c r="O5" s="20">
        <f>'03 Assumptions'!$F$14</f>
        <v/>
      </c>
    </row>
    <row r="6">
      <c r="A6" s="2" t="inlineStr">
        <is>
          <t>Capex</t>
        </is>
      </c>
      <c r="F6" s="16">
        <f>-F4*F5</f>
        <v/>
      </c>
      <c r="G6" s="16">
        <f>-G4*G5</f>
        <v/>
      </c>
      <c r="H6" s="16">
        <f>-H4*H5</f>
        <v/>
      </c>
      <c r="I6" s="16">
        <f>-I4*I5</f>
        <v/>
      </c>
      <c r="J6" s="16">
        <f>-J4*J5</f>
        <v/>
      </c>
      <c r="K6" s="16">
        <f>-K4*K5</f>
        <v/>
      </c>
      <c r="L6" s="16">
        <f>-L4*L5</f>
        <v/>
      </c>
      <c r="M6" s="16">
        <f>-M4*M5</f>
        <v/>
      </c>
      <c r="N6" s="16">
        <f>-N4*N5</f>
        <v/>
      </c>
      <c r="O6" s="16">
        <f>-O4*O5</f>
        <v/>
      </c>
    </row>
    <row r="7">
      <c r="A7" s="3" t="inlineStr">
        <is>
          <t>D&amp;A (from 06)</t>
        </is>
      </c>
      <c r="F7" s="18">
        <f>'06 Operating Model'!F7</f>
        <v/>
      </c>
      <c r="G7" s="18">
        <f>'06 Operating Model'!G7</f>
        <v/>
      </c>
      <c r="H7" s="18">
        <f>'06 Operating Model'!H7</f>
        <v/>
      </c>
      <c r="I7" s="18">
        <f>'06 Operating Model'!I7</f>
        <v/>
      </c>
      <c r="J7" s="18">
        <f>'06 Operating Model'!J7</f>
        <v/>
      </c>
      <c r="K7" s="18">
        <f>'06 Operating Model'!K7</f>
        <v/>
      </c>
      <c r="L7" s="18">
        <f>'06 Operating Model'!L7</f>
        <v/>
      </c>
      <c r="M7" s="18">
        <f>'06 Operating Model'!M7</f>
        <v/>
      </c>
      <c r="N7" s="18">
        <f>'06 Operating Model'!N7</f>
        <v/>
      </c>
      <c r="O7" s="18">
        <f>'06 Operating Model'!O7</f>
        <v/>
      </c>
    </row>
    <row r="8">
      <c r="A8" s="3" t="inlineStr">
        <is>
          <t>Capex / D&amp;A cover</t>
        </is>
      </c>
      <c r="F8" s="21">
        <f>F6/F7</f>
        <v/>
      </c>
      <c r="G8" s="21">
        <f>G6/G7</f>
        <v/>
      </c>
      <c r="H8" s="21">
        <f>H6/H7</f>
        <v/>
      </c>
      <c r="I8" s="21">
        <f>I6/I7</f>
        <v/>
      </c>
      <c r="J8" s="21">
        <f>J6/J7</f>
        <v/>
      </c>
      <c r="K8" s="21">
        <f>K6/K7</f>
        <v/>
      </c>
      <c r="L8" s="21">
        <f>L6/L7</f>
        <v/>
      </c>
      <c r="M8" s="21">
        <f>M6/M7</f>
        <v/>
      </c>
      <c r="N8" s="21">
        <f>N6/N7</f>
        <v/>
      </c>
      <c r="O8" s="21">
        <f>O6/O7</f>
        <v/>
      </c>
    </row>
    <row r="10">
      <c r="A10" s="3" t="inlineStr">
        <is>
          <t>2025 actual: recurring capex 5.1% of revenue (gross 6.5% incl. one-off solar/projects). Base 5.0%.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7" t="inlineStr">
        <is>
          <t>FREE CASH FLOW TO FIRM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3">
      <c r="A3" s="2" t="inlineStr">
        <is>
          <t>€m unless noted</t>
        </is>
      </c>
      <c r="F3" s="2" t="inlineStr">
        <is>
          <t>2026E</t>
        </is>
      </c>
      <c r="G3" s="2" t="inlineStr">
        <is>
          <t>2027E</t>
        </is>
      </c>
      <c r="H3" s="2" t="inlineStr">
        <is>
          <t>2028E</t>
        </is>
      </c>
      <c r="I3" s="2" t="inlineStr">
        <is>
          <t>2029E</t>
        </is>
      </c>
      <c r="J3" s="2" t="inlineStr">
        <is>
          <t>2030E</t>
        </is>
      </c>
      <c r="K3" s="2" t="inlineStr">
        <is>
          <t>2031E</t>
        </is>
      </c>
      <c r="L3" s="2" t="inlineStr">
        <is>
          <t>2032E</t>
        </is>
      </c>
      <c r="M3" s="2" t="inlineStr">
        <is>
          <t>2033E</t>
        </is>
      </c>
      <c r="N3" s="2" t="inlineStr">
        <is>
          <t>2034E</t>
        </is>
      </c>
      <c r="O3" s="2" t="inlineStr">
        <is>
          <t>2035E</t>
        </is>
      </c>
    </row>
    <row r="4">
      <c r="A4" s="3" t="inlineStr">
        <is>
          <t>NOPAT</t>
        </is>
      </c>
      <c r="F4" s="18">
        <f>'06 Operating Model'!F10</f>
        <v/>
      </c>
      <c r="G4" s="18">
        <f>'06 Operating Model'!G10</f>
        <v/>
      </c>
      <c r="H4" s="18">
        <f>'06 Operating Model'!H10</f>
        <v/>
      </c>
      <c r="I4" s="18">
        <f>'06 Operating Model'!I10</f>
        <v/>
      </c>
      <c r="J4" s="18">
        <f>'06 Operating Model'!J10</f>
        <v/>
      </c>
      <c r="K4" s="18">
        <f>'06 Operating Model'!K10</f>
        <v/>
      </c>
      <c r="L4" s="18">
        <f>'06 Operating Model'!L10</f>
        <v/>
      </c>
      <c r="M4" s="18">
        <f>'06 Operating Model'!M10</f>
        <v/>
      </c>
      <c r="N4" s="18">
        <f>'06 Operating Model'!N10</f>
        <v/>
      </c>
      <c r="O4" s="18">
        <f>'06 Operating Model'!O10</f>
        <v/>
      </c>
    </row>
    <row r="5">
      <c r="A5" s="3" t="inlineStr">
        <is>
          <t>(+) D&amp;A</t>
        </is>
      </c>
      <c r="F5" s="18">
        <f>-'06 Operating Model'!F7</f>
        <v/>
      </c>
      <c r="G5" s="18">
        <f>-'06 Operating Model'!G7</f>
        <v/>
      </c>
      <c r="H5" s="18">
        <f>-'06 Operating Model'!H7</f>
        <v/>
      </c>
      <c r="I5" s="18">
        <f>-'06 Operating Model'!I7</f>
        <v/>
      </c>
      <c r="J5" s="18">
        <f>-'06 Operating Model'!J7</f>
        <v/>
      </c>
      <c r="K5" s="18">
        <f>-'06 Operating Model'!K7</f>
        <v/>
      </c>
      <c r="L5" s="18">
        <f>-'06 Operating Model'!L7</f>
        <v/>
      </c>
      <c r="M5" s="18">
        <f>-'06 Operating Model'!M7</f>
        <v/>
      </c>
      <c r="N5" s="18">
        <f>-'06 Operating Model'!N7</f>
        <v/>
      </c>
      <c r="O5" s="18">
        <f>-'06 Operating Model'!O7</f>
        <v/>
      </c>
    </row>
    <row r="6">
      <c r="A6" s="3" t="inlineStr">
        <is>
          <t>(-) Capex</t>
        </is>
      </c>
      <c r="F6" s="18">
        <f>'08 Capex &amp; Depreciation'!F6</f>
        <v/>
      </c>
      <c r="G6" s="18">
        <f>'08 Capex &amp; Depreciation'!G6</f>
        <v/>
      </c>
      <c r="H6" s="18">
        <f>'08 Capex &amp; Depreciation'!H6</f>
        <v/>
      </c>
      <c r="I6" s="18">
        <f>'08 Capex &amp; Depreciation'!I6</f>
        <v/>
      </c>
      <c r="J6" s="18">
        <f>'08 Capex &amp; Depreciation'!J6</f>
        <v/>
      </c>
      <c r="K6" s="18">
        <f>'08 Capex &amp; Depreciation'!K6</f>
        <v/>
      </c>
      <c r="L6" s="18">
        <f>'08 Capex &amp; Depreciation'!L6</f>
        <v/>
      </c>
      <c r="M6" s="18">
        <f>'08 Capex &amp; Depreciation'!M6</f>
        <v/>
      </c>
      <c r="N6" s="18">
        <f>'08 Capex &amp; Depreciation'!N6</f>
        <v/>
      </c>
      <c r="O6" s="18">
        <f>'08 Capex &amp; Depreciation'!O6</f>
        <v/>
      </c>
    </row>
    <row r="7">
      <c r="A7" s="3" t="inlineStr">
        <is>
          <t>(-/+) Change in NWC</t>
        </is>
      </c>
      <c r="F7" s="18">
        <f>'07 Working Capital'!F9</f>
        <v/>
      </c>
      <c r="G7" s="18">
        <f>'07 Working Capital'!G9</f>
        <v/>
      </c>
      <c r="H7" s="18">
        <f>'07 Working Capital'!H9</f>
        <v/>
      </c>
      <c r="I7" s="18">
        <f>'07 Working Capital'!I9</f>
        <v/>
      </c>
      <c r="J7" s="18">
        <f>'07 Working Capital'!J9</f>
        <v/>
      </c>
      <c r="K7" s="18">
        <f>'07 Working Capital'!K9</f>
        <v/>
      </c>
      <c r="L7" s="18">
        <f>'07 Working Capital'!L9</f>
        <v/>
      </c>
      <c r="M7" s="18">
        <f>'07 Working Capital'!M9</f>
        <v/>
      </c>
      <c r="N7" s="18">
        <f>'07 Working Capital'!N9</f>
        <v/>
      </c>
      <c r="O7" s="18">
        <f>'07 Working Capital'!O9</f>
        <v/>
      </c>
    </row>
    <row r="8">
      <c r="A8" s="3" t="inlineStr">
        <is>
          <t>(-) Lease principal repayments (IFRS 16)</t>
        </is>
      </c>
      <c r="F8" s="16">
        <f>-'05 Revenue Build'!F27*'03 Assumptions'!$B$43</f>
        <v/>
      </c>
      <c r="G8" s="16">
        <f>-'05 Revenue Build'!G27*'03 Assumptions'!$B$43</f>
        <v/>
      </c>
      <c r="H8" s="16">
        <f>-'05 Revenue Build'!H27*'03 Assumptions'!$B$43</f>
        <v/>
      </c>
      <c r="I8" s="16">
        <f>-'05 Revenue Build'!I27*'03 Assumptions'!$B$43</f>
        <v/>
      </c>
      <c r="J8" s="16">
        <f>-'05 Revenue Build'!J27*'03 Assumptions'!$B$43</f>
        <v/>
      </c>
      <c r="K8" s="16">
        <f>-'05 Revenue Build'!K27*'03 Assumptions'!$B$43</f>
        <v/>
      </c>
      <c r="L8" s="16">
        <f>-'05 Revenue Build'!L27*'03 Assumptions'!$B$43</f>
        <v/>
      </c>
      <c r="M8" s="16">
        <f>-'05 Revenue Build'!M27*'03 Assumptions'!$B$43</f>
        <v/>
      </c>
      <c r="N8" s="16">
        <f>-'05 Revenue Build'!N27*'03 Assumptions'!$B$43</f>
        <v/>
      </c>
      <c r="O8" s="16">
        <f>-'05 Revenue Build'!O27*'03 Assumptions'!$B$43</f>
        <v/>
      </c>
    </row>
    <row r="9">
      <c r="A9" s="2" t="inlineStr">
        <is>
          <t>FCFF</t>
        </is>
      </c>
      <c r="F9" s="16">
        <f>SUM(F4:F8)</f>
        <v/>
      </c>
      <c r="G9" s="16">
        <f>SUM(G4:G8)</f>
        <v/>
      </c>
      <c r="H9" s="16">
        <f>SUM(H4:H8)</f>
        <v/>
      </c>
      <c r="I9" s="16">
        <f>SUM(I4:I8)</f>
        <v/>
      </c>
      <c r="J9" s="16">
        <f>SUM(J4:J8)</f>
        <v/>
      </c>
      <c r="K9" s="16">
        <f>SUM(K4:K8)</f>
        <v/>
      </c>
      <c r="L9" s="16">
        <f>SUM(L4:L8)</f>
        <v/>
      </c>
      <c r="M9" s="16">
        <f>SUM(M4:M8)</f>
        <v/>
      </c>
      <c r="N9" s="16">
        <f>SUM(N4:N8)</f>
        <v/>
      </c>
      <c r="O9" s="16">
        <f>SUM(O4:O8)</f>
        <v/>
      </c>
    </row>
    <row r="10">
      <c r="A10" s="3" t="inlineStr">
        <is>
          <t>FCFF / EBITDA conversion</t>
        </is>
      </c>
      <c r="F10" s="15">
        <f>F9/'06 Operating Model'!F6</f>
        <v/>
      </c>
      <c r="G10" s="15">
        <f>G9/'06 Operating Model'!G6</f>
        <v/>
      </c>
      <c r="H10" s="15">
        <f>H9/'06 Operating Model'!H6</f>
        <v/>
      </c>
      <c r="I10" s="15">
        <f>I9/'06 Operating Model'!I6</f>
        <v/>
      </c>
      <c r="J10" s="15">
        <f>J9/'06 Operating Model'!J6</f>
        <v/>
      </c>
      <c r="K10" s="15">
        <f>K9/'06 Operating Model'!K6</f>
        <v/>
      </c>
      <c r="L10" s="15">
        <f>L9/'06 Operating Model'!L6</f>
        <v/>
      </c>
      <c r="M10" s="15">
        <f>M9/'06 Operating Model'!M6</f>
        <v/>
      </c>
      <c r="N10" s="15">
        <f>N9/'06 Operating Model'!N6</f>
        <v/>
      </c>
      <c r="O10" s="15">
        <f>O9/'06 Operating Model'!O6</f>
        <v/>
      </c>
    </row>
    <row r="12">
      <c r="A12" s="3" t="inlineStr">
        <is>
          <t>IFRS 16 v2: EBITDA keeps lease benefit; FCFF charges lease PRINCIPAL (2025: 15.1m, scaled with revenue);</t>
        </is>
      </c>
    </row>
    <row r="13">
      <c r="A13" s="3" t="inlineStr">
        <is>
          <t>equity bridge uses NFP EXCLUDING lease liabilities (+209.6m). Lease interest ~immaterial (net fin result ~0).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7" t="inlineStr">
        <is>
          <t>WACC BUILD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3">
      <c r="A3" s="3" t="inlineStr">
        <is>
          <t>Risk-free: German Bund 10Y</t>
        </is>
      </c>
      <c r="B3" s="7" t="n">
        <v>0.0313</v>
      </c>
      <c r="D3" s="3" t="inlineStr">
        <is>
          <t>TradingEconomics 16-Jul-26</t>
        </is>
      </c>
    </row>
    <row r="4">
      <c r="A4" s="3" t="inlineStr">
        <is>
          <t>Mature market ERP (Damodaran Jan-26)</t>
        </is>
      </c>
      <c r="B4" s="7" t="n">
        <v>0.0423</v>
      </c>
      <c r="D4" s="3" t="inlineStr">
        <is>
          <t>Damodaran ctryprem</t>
        </is>
      </c>
    </row>
    <row r="5">
      <c r="A5" s="3" t="inlineStr">
        <is>
          <t>Levered beta (triangulated)</t>
        </is>
      </c>
      <c r="B5" s="9" t="n">
        <v>0.95</v>
      </c>
      <c r="D5" s="3" t="inlineStr">
        <is>
          <t>Yahoo 0.86 / TradingView 0.94</t>
        </is>
      </c>
    </row>
    <row r="6">
      <c r="A6" s="3" t="inlineStr">
        <is>
          <t>Weighted country risk premium</t>
        </is>
      </c>
      <c r="B6" s="7" t="n">
        <v>0.006</v>
      </c>
      <c r="D6" s="3" t="inlineStr">
        <is>
          <t>Italy CRP 2.46% x ~11% rev + EM exposure</t>
        </is>
      </c>
    </row>
    <row r="8">
      <c r="A8" s="2" t="inlineStr">
        <is>
          <t>Cost of equity = rf + beta x ERP + wCRP</t>
        </is>
      </c>
      <c r="B8" s="15">
        <f>B3+B5*B4+B6</f>
        <v/>
      </c>
    </row>
    <row r="10">
      <c r="A10" s="3" t="inlineStr">
        <is>
          <t>Pre-tax cost of debt (hypothetical; net-cash co.)</t>
        </is>
      </c>
      <c r="B10" s="7" t="n">
        <v>0.045</v>
      </c>
    </row>
    <row r="11">
      <c r="A11" s="3" t="inlineStr">
        <is>
          <t>Tax rate</t>
        </is>
      </c>
      <c r="B11" s="20">
        <f>'03 Assumptions'!$B$21</f>
        <v/>
      </c>
    </row>
    <row r="12">
      <c r="A12" s="3" t="inlineStr">
        <is>
          <t>After-tax cost of debt</t>
        </is>
      </c>
      <c r="B12" s="15">
        <f>B10*(1-B11)</f>
        <v/>
      </c>
    </row>
    <row r="13">
      <c r="A13" s="3" t="inlineStr">
        <is>
          <t>Weight of debt (net cash → 0%; leases immaterial to weighting)</t>
        </is>
      </c>
      <c r="B13" s="7" t="n">
        <v>0</v>
      </c>
    </row>
    <row r="15">
      <c r="A15" s="2" t="inlineStr">
        <is>
          <t>WACC</t>
        </is>
      </c>
      <c r="B15" s="8">
        <f>B8*(1-B13)+B12*B13</f>
        <v/>
      </c>
    </row>
    <row r="17">
      <c r="A17" s="6">
        <f>IF(AND(B15&gt;0.06,B15&lt;0.10),"CHECK OK: WACC in 6-10% range","CHECK: WACC outside expected range")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7" t="inlineStr">
        <is>
          <t>DCF VALUATION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3">
      <c r="A3" s="2" t="inlineStr">
        <is>
          <t>€m unless noted</t>
        </is>
      </c>
      <c r="F3" s="2" t="inlineStr">
        <is>
          <t>2026E</t>
        </is>
      </c>
      <c r="G3" s="2" t="inlineStr">
        <is>
          <t>2027E</t>
        </is>
      </c>
      <c r="H3" s="2" t="inlineStr">
        <is>
          <t>2028E</t>
        </is>
      </c>
      <c r="I3" s="2" t="inlineStr">
        <is>
          <t>2029E</t>
        </is>
      </c>
      <c r="J3" s="2" t="inlineStr">
        <is>
          <t>2030E</t>
        </is>
      </c>
      <c r="K3" s="2" t="inlineStr">
        <is>
          <t>2031E</t>
        </is>
      </c>
      <c r="L3" s="2" t="inlineStr">
        <is>
          <t>2032E</t>
        </is>
      </c>
      <c r="M3" s="2" t="inlineStr">
        <is>
          <t>2033E</t>
        </is>
      </c>
      <c r="N3" s="2" t="inlineStr">
        <is>
          <t>2034E</t>
        </is>
      </c>
      <c r="O3" s="2" t="inlineStr">
        <is>
          <t>2035E</t>
        </is>
      </c>
    </row>
    <row r="4">
      <c r="A4" s="3" t="inlineStr">
        <is>
          <t>FCFF</t>
        </is>
      </c>
      <c r="F4" s="18">
        <f>'09 Free Cash Flow'!F9</f>
        <v/>
      </c>
      <c r="G4" s="18">
        <f>'09 Free Cash Flow'!G9</f>
        <v/>
      </c>
      <c r="H4" s="18">
        <f>'09 Free Cash Flow'!H9</f>
        <v/>
      </c>
      <c r="I4" s="18">
        <f>'09 Free Cash Flow'!I9</f>
        <v/>
      </c>
      <c r="J4" s="18">
        <f>'09 Free Cash Flow'!J9</f>
        <v/>
      </c>
      <c r="K4" s="18">
        <f>'09 Free Cash Flow'!K9</f>
        <v/>
      </c>
      <c r="L4" s="18">
        <f>'09 Free Cash Flow'!L9</f>
        <v/>
      </c>
      <c r="M4" s="18">
        <f>'09 Free Cash Flow'!M9</f>
        <v/>
      </c>
      <c r="N4" s="18">
        <f>'09 Free Cash Flow'!N9</f>
        <v/>
      </c>
      <c r="O4" s="18">
        <f>'09 Free Cash Flow'!O9</f>
        <v/>
      </c>
    </row>
    <row r="5">
      <c r="A5" s="3" t="inlineStr">
        <is>
          <t>Discount factor (year-end)</t>
        </is>
      </c>
      <c r="F5" s="22">
        <f>1/(1+'10 WACC'!$B$15)^1</f>
        <v/>
      </c>
      <c r="G5" s="22">
        <f>1/(1+'10 WACC'!$B$15)^2</f>
        <v/>
      </c>
      <c r="H5" s="22">
        <f>1/(1+'10 WACC'!$B$15)^3</f>
        <v/>
      </c>
      <c r="I5" s="22">
        <f>1/(1+'10 WACC'!$B$15)^4</f>
        <v/>
      </c>
      <c r="J5" s="22">
        <f>1/(1+'10 WACC'!$B$15)^5</f>
        <v/>
      </c>
      <c r="K5" s="22">
        <f>1/(1+'10 WACC'!$B$15)^6</f>
        <v/>
      </c>
      <c r="L5" s="22">
        <f>1/(1+'10 WACC'!$B$15)^7</f>
        <v/>
      </c>
      <c r="M5" s="22">
        <f>1/(1+'10 WACC'!$B$15)^8</f>
        <v/>
      </c>
      <c r="N5" s="22">
        <f>1/(1+'10 WACC'!$B$15)^9</f>
        <v/>
      </c>
      <c r="O5" s="22">
        <f>1/(1+'10 WACC'!$B$15)^10</f>
        <v/>
      </c>
    </row>
    <row r="6">
      <c r="A6" s="3" t="inlineStr">
        <is>
          <t>PV of FCFF</t>
        </is>
      </c>
      <c r="F6" s="16">
        <f>F4*F5</f>
        <v/>
      </c>
      <c r="G6" s="16">
        <f>G4*G5</f>
        <v/>
      </c>
      <c r="H6" s="16">
        <f>H4*H5</f>
        <v/>
      </c>
      <c r="I6" s="16">
        <f>I4*I5</f>
        <v/>
      </c>
      <c r="J6" s="16">
        <f>J4*J5</f>
        <v/>
      </c>
      <c r="K6" s="16">
        <f>K4*K5</f>
        <v/>
      </c>
      <c r="L6" s="16">
        <f>L4*L5</f>
        <v/>
      </c>
      <c r="M6" s="16">
        <f>M4*M5</f>
        <v/>
      </c>
      <c r="N6" s="16">
        <f>N4*N5</f>
        <v/>
      </c>
      <c r="O6" s="16">
        <f>O4*O5</f>
        <v/>
      </c>
    </row>
    <row r="8">
      <c r="A8" s="2" t="inlineStr">
        <is>
          <t>Sum PV explicit FCFF (2026-35)</t>
        </is>
      </c>
      <c r="B8" s="16">
        <f>SUM(F6:O6)</f>
        <v/>
      </c>
    </row>
    <row r="10">
      <c r="A10" s="2" t="inlineStr">
        <is>
          <t>TERMINAL VALUE — Method 1: Gordon Growth</t>
        </is>
      </c>
    </row>
    <row r="11">
      <c r="A11" s="3" t="inlineStr">
        <is>
          <t>Terminal growth g (scenario)</t>
        </is>
      </c>
      <c r="B11" s="20">
        <f>'03 Assumptions'!$F$16</f>
        <v/>
      </c>
    </row>
    <row r="12">
      <c r="A12" s="3" t="inlineStr">
        <is>
          <t>TV = FCFF2035 x (1+g) / (WACC − g)</t>
        </is>
      </c>
      <c r="B12" s="16">
        <f>O4*(1+B11)/('10 WACC'!$B$15-B11)</f>
        <v/>
      </c>
    </row>
    <row r="13">
      <c r="A13" s="3" t="inlineStr">
        <is>
          <t>PV of TV</t>
        </is>
      </c>
      <c r="B13" s="16">
        <f>B12*O5</f>
        <v/>
      </c>
    </row>
    <row r="14">
      <c r="A14" s="3" t="inlineStr">
        <is>
          <t>Implied exit EV/EBITDA (check vs Method 2)</t>
        </is>
      </c>
      <c r="B14" s="21">
        <f>B12/'06 Operating Model'!O6</f>
        <v/>
      </c>
    </row>
    <row r="16">
      <c r="A16" s="2" t="inlineStr">
        <is>
          <t>TERMINAL VALUE — Method 2: Exit multiple</t>
        </is>
      </c>
    </row>
    <row r="17">
      <c r="A17" s="3" t="inlineStr">
        <is>
          <t>Exit multiple (scenario)</t>
        </is>
      </c>
      <c r="B17" s="23">
        <f>'03 Assumptions'!$F$17</f>
        <v/>
      </c>
    </row>
    <row r="18">
      <c r="A18" s="3" t="inlineStr">
        <is>
          <t>TV = 2035 EBITDA x multiple</t>
        </is>
      </c>
      <c r="B18" s="16">
        <f>'06 Operating Model'!O6*B17</f>
        <v/>
      </c>
    </row>
    <row r="19">
      <c r="A19" s="3" t="inlineStr">
        <is>
          <t>PV of TV</t>
        </is>
      </c>
      <c r="B19" s="16">
        <f>B18*O5</f>
        <v/>
      </c>
    </row>
    <row r="20">
      <c r="A20" s="3" t="inlineStr">
        <is>
          <t>Implied terminal growth (check)</t>
        </is>
      </c>
      <c r="B20" s="15">
        <f>('10 WACC'!$B$15*B18-O4)/(B18+O4)</f>
        <v/>
      </c>
    </row>
    <row r="22">
      <c r="A22" s="45" t="inlineStr">
        <is>
          <t>ENTERPRISE → EQUITY (Gordon primary)</t>
        </is>
      </c>
      <c r="B22" s="38" t="n"/>
    </row>
    <row r="23">
      <c r="A23" s="35" t="inlineStr">
        <is>
          <t>Enterprise value</t>
        </is>
      </c>
      <c r="B23" s="52">
        <f>B8+B13</f>
        <v/>
      </c>
    </row>
    <row r="24">
      <c r="A24" s="35" t="inlineStr">
        <is>
          <t>(+) NFP excl. IFRS16 (leases charged in FCFF)</t>
        </is>
      </c>
      <c r="B24" s="53">
        <f>'03 Assumptions'!$B$44</f>
        <v/>
      </c>
    </row>
    <row r="25">
      <c r="A25" s="45" t="inlineStr">
        <is>
          <t>Equity value</t>
        </is>
      </c>
      <c r="B25" s="52">
        <f>B23+B24</f>
        <v/>
      </c>
    </row>
    <row r="26">
      <c r="A26" s="35" t="inlineStr">
        <is>
          <t>Shares (m)</t>
        </is>
      </c>
      <c r="B26" s="53">
        <f>'03 Assumptions'!$B$23</f>
        <v/>
      </c>
    </row>
    <row r="27">
      <c r="A27" s="45" t="inlineStr">
        <is>
          <t>VALUE PER SHARE (€)</t>
        </is>
      </c>
      <c r="B27" s="54">
        <f>B25/B26</f>
        <v/>
      </c>
    </row>
    <row r="28">
      <c r="A28" s="35" t="inlineStr">
        <is>
          <t>Current price (€)</t>
        </is>
      </c>
      <c r="B28" s="40">
        <f>'03 Assumptions'!$B$25</f>
        <v/>
      </c>
    </row>
    <row r="29">
      <c r="A29" s="45" t="inlineStr">
        <is>
          <t>Upside / (downside)</t>
        </is>
      </c>
      <c r="B29" s="55">
        <f>B27/B28-1</f>
        <v/>
      </c>
    </row>
    <row r="31">
      <c r="A31" s="3" t="inlineStr">
        <is>
          <t>Per share — exit-multiple method</t>
        </is>
      </c>
      <c r="B31" s="26">
        <f>(B8+B19+B24)/B26</f>
        <v/>
      </c>
    </row>
    <row r="32">
      <c r="A32" s="3" t="inlineStr">
        <is>
          <t>TV % of EV (Gordon)</t>
        </is>
      </c>
      <c r="B32" s="15">
        <f>B13/B23</f>
        <v/>
      </c>
    </row>
    <row r="34">
      <c r="A34" s="6">
        <f>IF('10 WACC'!$B$15&gt;B11,"CHECK OK: WACC &gt; g","ERROR: WACC &lt;= g - Gordon invalid")</f>
        <v/>
      </c>
    </row>
    <row r="35">
      <c r="A35" s="6">
        <f>IF(ABS(B27-B31)/B27&lt;0.35,"CHECK OK: two TV methods within 35%","CHECK: TV methods diverge &gt;35% - review exit multiple vs g")</f>
        <v/>
      </c>
    </row>
    <row r="37">
      <c r="A37" s="2" t="inlineStr">
        <is>
          <t>5-YEAR HORIZON CROSS-CHECK (partner request)</t>
        </is>
      </c>
    </row>
    <row r="38">
      <c r="A38" s="3" t="inlineStr">
        <is>
          <t>EV: PV FCFF 2026-30 + TV (exit mult x 2030 EBITDA)</t>
        </is>
      </c>
      <c r="B38" s="16">
        <f>SUMPRODUCT(F4:J4,F5:J5)+'06 Operating Model'!J6*'03 Assumptions'!$F$17*J5</f>
        <v/>
      </c>
    </row>
    <row r="39">
      <c r="A39" s="3" t="inlineStr">
        <is>
          <t>5-yr value per share</t>
        </is>
      </c>
      <c r="B39" s="26">
        <f>(B38+B24)/B26</f>
        <v/>
      </c>
    </row>
    <row r="40">
      <c r="A40" s="3" t="inlineStr">
        <is>
          <t>TV % of 5-yr EV</t>
        </is>
      </c>
      <c r="B40" s="15">
        <f>'06 Operating Model'!J6*'03 Assumptions'!$F$17*J5/B38</f>
        <v/>
      </c>
    </row>
    <row r="42">
      <c r="A42" t="inlineStr">
        <is>
          <t>Gordon-implied exit multiple (B14, currently ~9.4x) is BELOW today's ~13x trading multiple — correctly assuming a mature capital-goods re-rating, not a premium.</t>
        </is>
      </c>
    </row>
    <row r="43">
      <c r="A43" t="inlineStr">
        <is>
          <t>The 12.0x exit-multiple cross-check (B17) sits above the Gordon-implied ~9.4x: the gap embeds a premium for unquantified digital optionality. Two methods agree within ~16%.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7" t="inlineStr">
        <is>
          <t>SENSITIVITY ANALYSIS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2">
      <c r="A2" s="3" t="inlineStr">
        <is>
          <t>Grids re-derive value from the live FCFF row of sheet 11; margin×growth grid uses a simplified engine (uniform growth/margin) noted below.</t>
        </is>
      </c>
    </row>
    <row r="4">
      <c r="A4" s="2" t="inlineStr">
        <is>
          <t>GRID 1 — WACC (rows) × terminal growth (cols)</t>
        </is>
      </c>
    </row>
    <row r="5">
      <c r="C5" s="7" t="n">
        <v>0.015</v>
      </c>
      <c r="D5" s="7" t="n">
        <v>0.02</v>
      </c>
      <c r="E5" s="7" t="n">
        <v>0.0225</v>
      </c>
      <c r="F5" s="7" t="n">
        <v>0.025</v>
      </c>
      <c r="G5" s="7" t="n">
        <v>0.03</v>
      </c>
    </row>
    <row r="6">
      <c r="B6" s="7" t="n">
        <v>0.07000000000000001</v>
      </c>
      <c r="C6" s="26">
        <f>(SUMPRODUCT('11 DCF Valuation'!$F$4:$O$4,1/(1+$B6)^'05 Revenue Build'!$F$4:$O$4)+'11 DCF Valuation'!$O$4*(1+C$5)/($B6-C$5)/(1+$B6)^10+'03 Assumptions'!$B$44)/'03 Assumptions'!$B$23</f>
        <v/>
      </c>
      <c r="D6" s="26">
        <f>(SUMPRODUCT('11 DCF Valuation'!$F$4:$O$4,1/(1+$B6)^'05 Revenue Build'!$F$4:$O$4)+'11 DCF Valuation'!$O$4*(1+D$5)/($B6-D$5)/(1+$B6)^10+'03 Assumptions'!$B$44)/'03 Assumptions'!$B$23</f>
        <v/>
      </c>
      <c r="E6" s="26">
        <f>(SUMPRODUCT('11 DCF Valuation'!$F$4:$O$4,1/(1+$B6)^'05 Revenue Build'!$F$4:$O$4)+'11 DCF Valuation'!$O$4*(1+E$5)/($B6-E$5)/(1+$B6)^10+'03 Assumptions'!$B$44)/'03 Assumptions'!$B$23</f>
        <v/>
      </c>
      <c r="F6" s="26">
        <f>(SUMPRODUCT('11 DCF Valuation'!$F$4:$O$4,1/(1+$B6)^'05 Revenue Build'!$F$4:$O$4)+'11 DCF Valuation'!$O$4*(1+F$5)/($B6-F$5)/(1+$B6)^10+'03 Assumptions'!$B$44)/'03 Assumptions'!$B$23</f>
        <v/>
      </c>
      <c r="G6" s="26">
        <f>(SUMPRODUCT('11 DCF Valuation'!$F$4:$O$4,1/(1+$B6)^'05 Revenue Build'!$F$4:$O$4)+'11 DCF Valuation'!$O$4*(1+G$5)/($B6-G$5)/(1+$B6)^10+'03 Assumptions'!$B$44)/'03 Assumptions'!$B$23</f>
        <v/>
      </c>
    </row>
    <row r="7">
      <c r="B7" s="7" t="n">
        <v>0.0725</v>
      </c>
      <c r="C7" s="26">
        <f>(SUMPRODUCT('11 DCF Valuation'!$F$4:$O$4,1/(1+$B7)^'05 Revenue Build'!$F$4:$O$4)+'11 DCF Valuation'!$O$4*(1+C$5)/($B7-C$5)/(1+$B7)^10+'03 Assumptions'!$B$44)/'03 Assumptions'!$B$23</f>
        <v/>
      </c>
      <c r="D7" s="26">
        <f>(SUMPRODUCT('11 DCF Valuation'!$F$4:$O$4,1/(1+$B7)^'05 Revenue Build'!$F$4:$O$4)+'11 DCF Valuation'!$O$4*(1+D$5)/($B7-D$5)/(1+$B7)^10+'03 Assumptions'!$B$44)/'03 Assumptions'!$B$23</f>
        <v/>
      </c>
      <c r="E7" s="26">
        <f>(SUMPRODUCT('11 DCF Valuation'!$F$4:$O$4,1/(1+$B7)^'05 Revenue Build'!$F$4:$O$4)+'11 DCF Valuation'!$O$4*(1+E$5)/($B7-E$5)/(1+$B7)^10+'03 Assumptions'!$B$44)/'03 Assumptions'!$B$23</f>
        <v/>
      </c>
      <c r="F7" s="26">
        <f>(SUMPRODUCT('11 DCF Valuation'!$F$4:$O$4,1/(1+$B7)^'05 Revenue Build'!$F$4:$O$4)+'11 DCF Valuation'!$O$4*(1+F$5)/($B7-F$5)/(1+$B7)^10+'03 Assumptions'!$B$44)/'03 Assumptions'!$B$23</f>
        <v/>
      </c>
      <c r="G7" s="26">
        <f>(SUMPRODUCT('11 DCF Valuation'!$F$4:$O$4,1/(1+$B7)^'05 Revenue Build'!$F$4:$O$4)+'11 DCF Valuation'!$O$4*(1+G$5)/($B7-G$5)/(1+$B7)^10+'03 Assumptions'!$B$44)/'03 Assumptions'!$B$23</f>
        <v/>
      </c>
    </row>
    <row r="8">
      <c r="B8" s="7" t="n">
        <v>0.075</v>
      </c>
      <c r="C8" s="26">
        <f>(SUMPRODUCT('11 DCF Valuation'!$F$4:$O$4,1/(1+$B8)^'05 Revenue Build'!$F$4:$O$4)+'11 DCF Valuation'!$O$4*(1+C$5)/($B8-C$5)/(1+$B8)^10+'03 Assumptions'!$B$44)/'03 Assumptions'!$B$23</f>
        <v/>
      </c>
      <c r="D8" s="26">
        <f>(SUMPRODUCT('11 DCF Valuation'!$F$4:$O$4,1/(1+$B8)^'05 Revenue Build'!$F$4:$O$4)+'11 DCF Valuation'!$O$4*(1+D$5)/($B8-D$5)/(1+$B8)^10+'03 Assumptions'!$B$44)/'03 Assumptions'!$B$23</f>
        <v/>
      </c>
      <c r="E8" s="26">
        <f>(SUMPRODUCT('11 DCF Valuation'!$F$4:$O$4,1/(1+$B8)^'05 Revenue Build'!$F$4:$O$4)+'11 DCF Valuation'!$O$4*(1+E$5)/($B8-E$5)/(1+$B8)^10+'03 Assumptions'!$B$44)/'03 Assumptions'!$B$23</f>
        <v/>
      </c>
      <c r="F8" s="26">
        <f>(SUMPRODUCT('11 DCF Valuation'!$F$4:$O$4,1/(1+$B8)^'05 Revenue Build'!$F$4:$O$4)+'11 DCF Valuation'!$O$4*(1+F$5)/($B8-F$5)/(1+$B8)^10+'03 Assumptions'!$B$44)/'03 Assumptions'!$B$23</f>
        <v/>
      </c>
      <c r="G8" s="26">
        <f>(SUMPRODUCT('11 DCF Valuation'!$F$4:$O$4,1/(1+$B8)^'05 Revenue Build'!$F$4:$O$4)+'11 DCF Valuation'!$O$4*(1+G$5)/($B8-G$5)/(1+$B8)^10+'03 Assumptions'!$B$44)/'03 Assumptions'!$B$23</f>
        <v/>
      </c>
    </row>
    <row r="9">
      <c r="B9" s="7" t="n">
        <v>0.0775</v>
      </c>
      <c r="C9" s="26">
        <f>(SUMPRODUCT('11 DCF Valuation'!$F$4:$O$4,1/(1+$B9)^'05 Revenue Build'!$F$4:$O$4)+'11 DCF Valuation'!$O$4*(1+C$5)/($B9-C$5)/(1+$B9)^10+'03 Assumptions'!$B$44)/'03 Assumptions'!$B$23</f>
        <v/>
      </c>
      <c r="D9" s="26">
        <f>(SUMPRODUCT('11 DCF Valuation'!$F$4:$O$4,1/(1+$B9)^'05 Revenue Build'!$F$4:$O$4)+'11 DCF Valuation'!$O$4*(1+D$5)/($B9-D$5)/(1+$B9)^10+'03 Assumptions'!$B$44)/'03 Assumptions'!$B$23</f>
        <v/>
      </c>
      <c r="E9" s="26">
        <f>(SUMPRODUCT('11 DCF Valuation'!$F$4:$O$4,1/(1+$B9)^'05 Revenue Build'!$F$4:$O$4)+'11 DCF Valuation'!$O$4*(1+E$5)/($B9-E$5)/(1+$B9)^10+'03 Assumptions'!$B$44)/'03 Assumptions'!$B$23</f>
        <v/>
      </c>
      <c r="F9" s="26">
        <f>(SUMPRODUCT('11 DCF Valuation'!$F$4:$O$4,1/(1+$B9)^'05 Revenue Build'!$F$4:$O$4)+'11 DCF Valuation'!$O$4*(1+F$5)/($B9-F$5)/(1+$B9)^10+'03 Assumptions'!$B$44)/'03 Assumptions'!$B$23</f>
        <v/>
      </c>
      <c r="G9" s="26">
        <f>(SUMPRODUCT('11 DCF Valuation'!$F$4:$O$4,1/(1+$B9)^'05 Revenue Build'!$F$4:$O$4)+'11 DCF Valuation'!$O$4*(1+G$5)/($B9-G$5)/(1+$B9)^10+'03 Assumptions'!$B$44)/'03 Assumptions'!$B$23</f>
        <v/>
      </c>
    </row>
    <row r="10">
      <c r="B10" s="7" t="n">
        <v>0.08</v>
      </c>
      <c r="C10" s="26">
        <f>(SUMPRODUCT('11 DCF Valuation'!$F$4:$O$4,1/(1+$B10)^'05 Revenue Build'!$F$4:$O$4)+'11 DCF Valuation'!$O$4*(1+C$5)/($B10-C$5)/(1+$B10)^10+'03 Assumptions'!$B$44)/'03 Assumptions'!$B$23</f>
        <v/>
      </c>
      <c r="D10" s="26">
        <f>(SUMPRODUCT('11 DCF Valuation'!$F$4:$O$4,1/(1+$B10)^'05 Revenue Build'!$F$4:$O$4)+'11 DCF Valuation'!$O$4*(1+D$5)/($B10-D$5)/(1+$B10)^10+'03 Assumptions'!$B$44)/'03 Assumptions'!$B$23</f>
        <v/>
      </c>
      <c r="E10" s="26">
        <f>(SUMPRODUCT('11 DCF Valuation'!$F$4:$O$4,1/(1+$B10)^'05 Revenue Build'!$F$4:$O$4)+'11 DCF Valuation'!$O$4*(1+E$5)/($B10-E$5)/(1+$B10)^10+'03 Assumptions'!$B$44)/'03 Assumptions'!$B$23</f>
        <v/>
      </c>
      <c r="F10" s="26">
        <f>(SUMPRODUCT('11 DCF Valuation'!$F$4:$O$4,1/(1+$B10)^'05 Revenue Build'!$F$4:$O$4)+'11 DCF Valuation'!$O$4*(1+F$5)/($B10-F$5)/(1+$B10)^10+'03 Assumptions'!$B$44)/'03 Assumptions'!$B$23</f>
        <v/>
      </c>
      <c r="G10" s="26">
        <f>(SUMPRODUCT('11 DCF Valuation'!$F$4:$O$4,1/(1+$B10)^'05 Revenue Build'!$F$4:$O$4)+'11 DCF Valuation'!$O$4*(1+G$5)/($B10-G$5)/(1+$B10)^10+'03 Assumptions'!$B$44)/'03 Assumptions'!$B$23</f>
        <v/>
      </c>
    </row>
    <row r="11">
      <c r="B11" s="7" t="n">
        <v>0.08500000000000001</v>
      </c>
      <c r="C11" s="26">
        <f>(SUMPRODUCT('11 DCF Valuation'!$F$4:$O$4,1/(1+$B11)^'05 Revenue Build'!$F$4:$O$4)+'11 DCF Valuation'!$O$4*(1+C$5)/($B11-C$5)/(1+$B11)^10+'03 Assumptions'!$B$44)/'03 Assumptions'!$B$23</f>
        <v/>
      </c>
      <c r="D11" s="26">
        <f>(SUMPRODUCT('11 DCF Valuation'!$F$4:$O$4,1/(1+$B11)^'05 Revenue Build'!$F$4:$O$4)+'11 DCF Valuation'!$O$4*(1+D$5)/($B11-D$5)/(1+$B11)^10+'03 Assumptions'!$B$44)/'03 Assumptions'!$B$23</f>
        <v/>
      </c>
      <c r="E11" s="26">
        <f>(SUMPRODUCT('11 DCF Valuation'!$F$4:$O$4,1/(1+$B11)^'05 Revenue Build'!$F$4:$O$4)+'11 DCF Valuation'!$O$4*(1+E$5)/($B11-E$5)/(1+$B11)^10+'03 Assumptions'!$B$44)/'03 Assumptions'!$B$23</f>
        <v/>
      </c>
      <c r="F11" s="26">
        <f>(SUMPRODUCT('11 DCF Valuation'!$F$4:$O$4,1/(1+$B11)^'05 Revenue Build'!$F$4:$O$4)+'11 DCF Valuation'!$O$4*(1+F$5)/($B11-F$5)/(1+$B11)^10+'03 Assumptions'!$B$44)/'03 Assumptions'!$B$23</f>
        <v/>
      </c>
      <c r="G11" s="26">
        <f>(SUMPRODUCT('11 DCF Valuation'!$F$4:$O$4,1/(1+$B11)^'05 Revenue Build'!$F$4:$O$4)+'11 DCF Valuation'!$O$4*(1+G$5)/($B11-G$5)/(1+$B11)^10+'03 Assumptions'!$B$44)/'03 Assumptions'!$B$23</f>
        <v/>
      </c>
    </row>
    <row r="14">
      <c r="A14" s="2" t="inlineStr">
        <is>
          <t>GRID 2 — WACC (rows) × exit EV/EBITDA (cols)</t>
        </is>
      </c>
    </row>
    <row r="15">
      <c r="C15" s="11" t="n">
        <v>9</v>
      </c>
      <c r="D15" s="11" t="n">
        <v>10</v>
      </c>
      <c r="E15" s="11" t="n">
        <v>11</v>
      </c>
      <c r="F15" s="11" t="n">
        <v>12</v>
      </c>
      <c r="G15" s="11" t="n">
        <v>13</v>
      </c>
      <c r="H15" s="11" t="n">
        <v>14</v>
      </c>
    </row>
    <row r="16">
      <c r="B16" s="7" t="n">
        <v>0.07000000000000001</v>
      </c>
      <c r="C16" s="26">
        <f>(SUMPRODUCT('11 DCF Valuation'!$F$4:$O$4,1/(1+$B16)^'05 Revenue Build'!$F$4:$O$4)+'06 Operating Model'!$O$6*C$15/(1+$B16)^10+'03 Assumptions'!$B$44)/'03 Assumptions'!$B$23</f>
        <v/>
      </c>
      <c r="D16" s="26">
        <f>(SUMPRODUCT('11 DCF Valuation'!$F$4:$O$4,1/(1+$B16)^'05 Revenue Build'!$F$4:$O$4)+'06 Operating Model'!$O$6*D$15/(1+$B16)^10+'03 Assumptions'!$B$44)/'03 Assumptions'!$B$23</f>
        <v/>
      </c>
      <c r="E16" s="26">
        <f>(SUMPRODUCT('11 DCF Valuation'!$F$4:$O$4,1/(1+$B16)^'05 Revenue Build'!$F$4:$O$4)+'06 Operating Model'!$O$6*E$15/(1+$B16)^10+'03 Assumptions'!$B$44)/'03 Assumptions'!$B$23</f>
        <v/>
      </c>
      <c r="F16" s="26">
        <f>(SUMPRODUCT('11 DCF Valuation'!$F$4:$O$4,1/(1+$B16)^'05 Revenue Build'!$F$4:$O$4)+'06 Operating Model'!$O$6*F$15/(1+$B16)^10+'03 Assumptions'!$B$44)/'03 Assumptions'!$B$23</f>
        <v/>
      </c>
      <c r="G16" s="26">
        <f>(SUMPRODUCT('11 DCF Valuation'!$F$4:$O$4,1/(1+$B16)^'05 Revenue Build'!$F$4:$O$4)+'06 Operating Model'!$O$6*G$15/(1+$B16)^10+'03 Assumptions'!$B$44)/'03 Assumptions'!$B$23</f>
        <v/>
      </c>
      <c r="H16" s="26">
        <f>(SUMPRODUCT('11 DCF Valuation'!$F$4:$O$4,1/(1+$B16)^'05 Revenue Build'!$F$4:$O$4)+'06 Operating Model'!$O$6*H$15/(1+$B16)^10+'03 Assumptions'!$B$44)/'03 Assumptions'!$B$23</f>
        <v/>
      </c>
    </row>
    <row r="17">
      <c r="B17" s="7" t="n">
        <v>0.0725</v>
      </c>
      <c r="C17" s="26">
        <f>(SUMPRODUCT('11 DCF Valuation'!$F$4:$O$4,1/(1+$B17)^'05 Revenue Build'!$F$4:$O$4)+'06 Operating Model'!$O$6*C$15/(1+$B17)^10+'03 Assumptions'!$B$44)/'03 Assumptions'!$B$23</f>
        <v/>
      </c>
      <c r="D17" s="26">
        <f>(SUMPRODUCT('11 DCF Valuation'!$F$4:$O$4,1/(1+$B17)^'05 Revenue Build'!$F$4:$O$4)+'06 Operating Model'!$O$6*D$15/(1+$B17)^10+'03 Assumptions'!$B$44)/'03 Assumptions'!$B$23</f>
        <v/>
      </c>
      <c r="E17" s="26">
        <f>(SUMPRODUCT('11 DCF Valuation'!$F$4:$O$4,1/(1+$B17)^'05 Revenue Build'!$F$4:$O$4)+'06 Operating Model'!$O$6*E$15/(1+$B17)^10+'03 Assumptions'!$B$44)/'03 Assumptions'!$B$23</f>
        <v/>
      </c>
      <c r="F17" s="26">
        <f>(SUMPRODUCT('11 DCF Valuation'!$F$4:$O$4,1/(1+$B17)^'05 Revenue Build'!$F$4:$O$4)+'06 Operating Model'!$O$6*F$15/(1+$B17)^10+'03 Assumptions'!$B$44)/'03 Assumptions'!$B$23</f>
        <v/>
      </c>
      <c r="G17" s="26">
        <f>(SUMPRODUCT('11 DCF Valuation'!$F$4:$O$4,1/(1+$B17)^'05 Revenue Build'!$F$4:$O$4)+'06 Operating Model'!$O$6*G$15/(1+$B17)^10+'03 Assumptions'!$B$44)/'03 Assumptions'!$B$23</f>
        <v/>
      </c>
      <c r="H17" s="26">
        <f>(SUMPRODUCT('11 DCF Valuation'!$F$4:$O$4,1/(1+$B17)^'05 Revenue Build'!$F$4:$O$4)+'06 Operating Model'!$O$6*H$15/(1+$B17)^10+'03 Assumptions'!$B$44)/'03 Assumptions'!$B$23</f>
        <v/>
      </c>
    </row>
    <row r="18">
      <c r="B18" s="7" t="n">
        <v>0.075</v>
      </c>
      <c r="C18" s="26">
        <f>(SUMPRODUCT('11 DCF Valuation'!$F$4:$O$4,1/(1+$B18)^'05 Revenue Build'!$F$4:$O$4)+'06 Operating Model'!$O$6*C$15/(1+$B18)^10+'03 Assumptions'!$B$44)/'03 Assumptions'!$B$23</f>
        <v/>
      </c>
      <c r="D18" s="26">
        <f>(SUMPRODUCT('11 DCF Valuation'!$F$4:$O$4,1/(1+$B18)^'05 Revenue Build'!$F$4:$O$4)+'06 Operating Model'!$O$6*D$15/(1+$B18)^10+'03 Assumptions'!$B$44)/'03 Assumptions'!$B$23</f>
        <v/>
      </c>
      <c r="E18" s="26">
        <f>(SUMPRODUCT('11 DCF Valuation'!$F$4:$O$4,1/(1+$B18)^'05 Revenue Build'!$F$4:$O$4)+'06 Operating Model'!$O$6*E$15/(1+$B18)^10+'03 Assumptions'!$B$44)/'03 Assumptions'!$B$23</f>
        <v/>
      </c>
      <c r="F18" s="26">
        <f>(SUMPRODUCT('11 DCF Valuation'!$F$4:$O$4,1/(1+$B18)^'05 Revenue Build'!$F$4:$O$4)+'06 Operating Model'!$O$6*F$15/(1+$B18)^10+'03 Assumptions'!$B$44)/'03 Assumptions'!$B$23</f>
        <v/>
      </c>
      <c r="G18" s="26">
        <f>(SUMPRODUCT('11 DCF Valuation'!$F$4:$O$4,1/(1+$B18)^'05 Revenue Build'!$F$4:$O$4)+'06 Operating Model'!$O$6*G$15/(1+$B18)^10+'03 Assumptions'!$B$44)/'03 Assumptions'!$B$23</f>
        <v/>
      </c>
      <c r="H18" s="26">
        <f>(SUMPRODUCT('11 DCF Valuation'!$F$4:$O$4,1/(1+$B18)^'05 Revenue Build'!$F$4:$O$4)+'06 Operating Model'!$O$6*H$15/(1+$B18)^10+'03 Assumptions'!$B$44)/'03 Assumptions'!$B$23</f>
        <v/>
      </c>
    </row>
    <row r="19">
      <c r="B19" s="7" t="n">
        <v>0.0775</v>
      </c>
      <c r="C19" s="26">
        <f>(SUMPRODUCT('11 DCF Valuation'!$F$4:$O$4,1/(1+$B19)^'05 Revenue Build'!$F$4:$O$4)+'06 Operating Model'!$O$6*C$15/(1+$B19)^10+'03 Assumptions'!$B$44)/'03 Assumptions'!$B$23</f>
        <v/>
      </c>
      <c r="D19" s="26">
        <f>(SUMPRODUCT('11 DCF Valuation'!$F$4:$O$4,1/(1+$B19)^'05 Revenue Build'!$F$4:$O$4)+'06 Operating Model'!$O$6*D$15/(1+$B19)^10+'03 Assumptions'!$B$44)/'03 Assumptions'!$B$23</f>
        <v/>
      </c>
      <c r="E19" s="26">
        <f>(SUMPRODUCT('11 DCF Valuation'!$F$4:$O$4,1/(1+$B19)^'05 Revenue Build'!$F$4:$O$4)+'06 Operating Model'!$O$6*E$15/(1+$B19)^10+'03 Assumptions'!$B$44)/'03 Assumptions'!$B$23</f>
        <v/>
      </c>
      <c r="F19" s="26">
        <f>(SUMPRODUCT('11 DCF Valuation'!$F$4:$O$4,1/(1+$B19)^'05 Revenue Build'!$F$4:$O$4)+'06 Operating Model'!$O$6*F$15/(1+$B19)^10+'03 Assumptions'!$B$44)/'03 Assumptions'!$B$23</f>
        <v/>
      </c>
      <c r="G19" s="26">
        <f>(SUMPRODUCT('11 DCF Valuation'!$F$4:$O$4,1/(1+$B19)^'05 Revenue Build'!$F$4:$O$4)+'06 Operating Model'!$O$6*G$15/(1+$B19)^10+'03 Assumptions'!$B$44)/'03 Assumptions'!$B$23</f>
        <v/>
      </c>
      <c r="H19" s="26">
        <f>(SUMPRODUCT('11 DCF Valuation'!$F$4:$O$4,1/(1+$B19)^'05 Revenue Build'!$F$4:$O$4)+'06 Operating Model'!$O$6*H$15/(1+$B19)^10+'03 Assumptions'!$B$44)/'03 Assumptions'!$B$23</f>
        <v/>
      </c>
    </row>
    <row r="20">
      <c r="B20" s="7" t="n">
        <v>0.08</v>
      </c>
      <c r="C20" s="26">
        <f>(SUMPRODUCT('11 DCF Valuation'!$F$4:$O$4,1/(1+$B20)^'05 Revenue Build'!$F$4:$O$4)+'06 Operating Model'!$O$6*C$15/(1+$B20)^10+'03 Assumptions'!$B$44)/'03 Assumptions'!$B$23</f>
        <v/>
      </c>
      <c r="D20" s="26">
        <f>(SUMPRODUCT('11 DCF Valuation'!$F$4:$O$4,1/(1+$B20)^'05 Revenue Build'!$F$4:$O$4)+'06 Operating Model'!$O$6*D$15/(1+$B20)^10+'03 Assumptions'!$B$44)/'03 Assumptions'!$B$23</f>
        <v/>
      </c>
      <c r="E20" s="26">
        <f>(SUMPRODUCT('11 DCF Valuation'!$F$4:$O$4,1/(1+$B20)^'05 Revenue Build'!$F$4:$O$4)+'06 Operating Model'!$O$6*E$15/(1+$B20)^10+'03 Assumptions'!$B$44)/'03 Assumptions'!$B$23</f>
        <v/>
      </c>
      <c r="F20" s="26">
        <f>(SUMPRODUCT('11 DCF Valuation'!$F$4:$O$4,1/(1+$B20)^'05 Revenue Build'!$F$4:$O$4)+'06 Operating Model'!$O$6*F$15/(1+$B20)^10+'03 Assumptions'!$B$44)/'03 Assumptions'!$B$23</f>
        <v/>
      </c>
      <c r="G20" s="26">
        <f>(SUMPRODUCT('11 DCF Valuation'!$F$4:$O$4,1/(1+$B20)^'05 Revenue Build'!$F$4:$O$4)+'06 Operating Model'!$O$6*G$15/(1+$B20)^10+'03 Assumptions'!$B$44)/'03 Assumptions'!$B$23</f>
        <v/>
      </c>
      <c r="H20" s="26">
        <f>(SUMPRODUCT('11 DCF Valuation'!$F$4:$O$4,1/(1+$B20)^'05 Revenue Build'!$F$4:$O$4)+'06 Operating Model'!$O$6*H$15/(1+$B20)^10+'03 Assumptions'!$B$44)/'03 Assumptions'!$B$23</f>
        <v/>
      </c>
    </row>
    <row r="21">
      <c r="B21" s="7" t="n">
        <v>0.08500000000000001</v>
      </c>
      <c r="C21" s="26">
        <f>(SUMPRODUCT('11 DCF Valuation'!$F$4:$O$4,1/(1+$B21)^'05 Revenue Build'!$F$4:$O$4)+'06 Operating Model'!$O$6*C$15/(1+$B21)^10+'03 Assumptions'!$B$44)/'03 Assumptions'!$B$23</f>
        <v/>
      </c>
      <c r="D21" s="26">
        <f>(SUMPRODUCT('11 DCF Valuation'!$F$4:$O$4,1/(1+$B21)^'05 Revenue Build'!$F$4:$O$4)+'06 Operating Model'!$O$6*D$15/(1+$B21)^10+'03 Assumptions'!$B$44)/'03 Assumptions'!$B$23</f>
        <v/>
      </c>
      <c r="E21" s="26">
        <f>(SUMPRODUCT('11 DCF Valuation'!$F$4:$O$4,1/(1+$B21)^'05 Revenue Build'!$F$4:$O$4)+'06 Operating Model'!$O$6*E$15/(1+$B21)^10+'03 Assumptions'!$B$44)/'03 Assumptions'!$B$23</f>
        <v/>
      </c>
      <c r="F21" s="26">
        <f>(SUMPRODUCT('11 DCF Valuation'!$F$4:$O$4,1/(1+$B21)^'05 Revenue Build'!$F$4:$O$4)+'06 Operating Model'!$O$6*F$15/(1+$B21)^10+'03 Assumptions'!$B$44)/'03 Assumptions'!$B$23</f>
        <v/>
      </c>
      <c r="G21" s="26">
        <f>(SUMPRODUCT('11 DCF Valuation'!$F$4:$O$4,1/(1+$B21)^'05 Revenue Build'!$F$4:$O$4)+'06 Operating Model'!$O$6*G$15/(1+$B21)^10+'03 Assumptions'!$B$44)/'03 Assumptions'!$B$23</f>
        <v/>
      </c>
      <c r="H21" s="26">
        <f>(SUMPRODUCT('11 DCF Valuation'!$F$4:$O$4,1/(1+$B21)^'05 Revenue Build'!$F$4:$O$4)+'06 Operating Model'!$O$6*H$15/(1+$B21)^10+'03 Assumptions'!$B$44)/'03 Assumptions'!$B$23</f>
        <v/>
      </c>
    </row>
    <row r="24">
      <c r="A24" s="2" t="inlineStr">
        <is>
          <t>GRID 3 - EBITDA margin endpoint (rows) x revenue CAGR 2026-35 (cols) - EXACT for stated axes</t>
        </is>
      </c>
    </row>
    <row r="25">
      <c r="A25" s="3" t="inlineStr">
        <is>
          <t>Engine: Rev_t=1019.3x(1+CAGR)^t; margin linear 21.6% to endpoint by yr7; FCFF=EBITDA(1-t)+t*DA-capex-lease-dNWC; Gordon TV.</t>
        </is>
      </c>
    </row>
    <row r="26">
      <c r="C26" s="7" t="n">
        <v>0.03</v>
      </c>
      <c r="D26" s="7" t="n">
        <v>0.05</v>
      </c>
      <c r="E26" s="7" t="n">
        <v>0.07000000000000001</v>
      </c>
      <c r="F26" s="7" t="n">
        <v>0.09</v>
      </c>
      <c r="G26" s="7" t="n">
        <v>0.11</v>
      </c>
    </row>
    <row r="27">
      <c r="B27" s="7" t="n">
        <v>0.215</v>
      </c>
      <c r="C27" s="26">
        <f>(SUMPRODUCT( (1019.3*(1+C$26)^'05 Revenue Build'!$F$4:$O$4) * ( ((0.216+($B27-0.216)*(('05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Capital'!$B$12*1019.3*((1+C$26)^'05 Revenue Build'!$F$4:$O$4-(1+C$26)^('05 Revenue Build'!$F$4:$O$4-1)) / (1+'10 WACC'!$B$15)^'05 Revenue Build'!$F$4:$O$4 )+ (1019.3*(1+C$26)^10*(($B27-'03 Assumptions'!$B$22)*(1-'03 Assumptions'!$B$21)+'03 Assumptions'!$B$22-'03 Assumptions'!$F$14-'03 Assumptions'!$B$43-'07 Working Capital'!$B$12*C$26)*(1+'03 Assumptions'!$F$16)/('10 WACC'!$B$15-'03 Assumptions'!$F$16))/(1+'10 WACC'!$B$15)^10+ '03 Assumptions'!$B$44)/'03 Assumptions'!$B$23</f>
        <v/>
      </c>
      <c r="D27" s="26">
        <f>(SUMPRODUCT( (1019.3*(1+D$26)^'05 Revenue Build'!$F$4:$O$4) * ( ((0.216+($B27-0.216)*(('05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Capital'!$B$12*1019.3*((1+D$26)^'05 Revenue Build'!$F$4:$O$4-(1+D$26)^('05 Revenue Build'!$F$4:$O$4-1)) / (1+'10 WACC'!$B$15)^'05 Revenue Build'!$F$4:$O$4 )+ (1019.3*(1+D$26)^10*(($B27-'03 Assumptions'!$B$22)*(1-'03 Assumptions'!$B$21)+'03 Assumptions'!$B$22-'03 Assumptions'!$F$14-'03 Assumptions'!$B$43-'07 Working Capital'!$B$12*D$26)*(1+'03 Assumptions'!$F$16)/('10 WACC'!$B$15-'03 Assumptions'!$F$16))/(1+'10 WACC'!$B$15)^10+ '03 Assumptions'!$B$44)/'03 Assumptions'!$B$23</f>
        <v/>
      </c>
      <c r="E27" s="26">
        <f>(SUMPRODUCT( (1019.3*(1+E$26)^'05 Revenue Build'!$F$4:$O$4) * ( ((0.216+($B27-0.216)*(('05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Capital'!$B$12*1019.3*((1+E$26)^'05 Revenue Build'!$F$4:$O$4-(1+E$26)^('05 Revenue Build'!$F$4:$O$4-1)) / (1+'10 WACC'!$B$15)^'05 Revenue Build'!$F$4:$O$4 )+ (1019.3*(1+E$26)^10*(($B27-'03 Assumptions'!$B$22)*(1-'03 Assumptions'!$B$21)+'03 Assumptions'!$B$22-'03 Assumptions'!$F$14-'03 Assumptions'!$B$43-'07 Working Capital'!$B$12*E$26)*(1+'03 Assumptions'!$F$16)/('10 WACC'!$B$15-'03 Assumptions'!$F$16))/(1+'10 WACC'!$B$15)^10+ '03 Assumptions'!$B$44)/'03 Assumptions'!$B$23</f>
        <v/>
      </c>
      <c r="F27" s="26">
        <f>(SUMPRODUCT( (1019.3*(1+F$26)^'05 Revenue Build'!$F$4:$O$4) * ( ((0.216+($B27-0.216)*(('05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Capital'!$B$12*1019.3*((1+F$26)^'05 Revenue Build'!$F$4:$O$4-(1+F$26)^('05 Revenue Build'!$F$4:$O$4-1)) / (1+'10 WACC'!$B$15)^'05 Revenue Build'!$F$4:$O$4 )+ (1019.3*(1+F$26)^10*(($B27-'03 Assumptions'!$B$22)*(1-'03 Assumptions'!$B$21)+'03 Assumptions'!$B$22-'03 Assumptions'!$F$14-'03 Assumptions'!$B$43-'07 Working Capital'!$B$12*F$26)*(1+'03 Assumptions'!$F$16)/('10 WACC'!$B$15-'03 Assumptions'!$F$16))/(1+'10 WACC'!$B$15)^10+ '03 Assumptions'!$B$44)/'03 Assumptions'!$B$23</f>
        <v/>
      </c>
      <c r="G27" s="26">
        <f>(SUMPRODUCT( (1019.3*(1+G$26)^'05 Revenue Build'!$F$4:$O$4) * ( ((0.216+($B27-0.216)*(('05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Capital'!$B$12*1019.3*((1+G$26)^'05 Revenue Build'!$F$4:$O$4-(1+G$26)^('05 Revenue Build'!$F$4:$O$4-1)) / (1+'10 WACC'!$B$15)^'05 Revenue Build'!$F$4:$O$4 )+ (1019.3*(1+G$26)^10*(($B27-'03 Assumptions'!$B$22)*(1-'03 Assumptions'!$B$21)+'03 Assumptions'!$B$22-'03 Assumptions'!$F$14-'03 Assumptions'!$B$43-'07 Working Capital'!$B$12*G$26)*(1+'03 Assumptions'!$F$16)/('10 WACC'!$B$15-'03 Assumptions'!$F$16))/(1+'10 WACC'!$B$15)^10+ '03 Assumptions'!$B$44)/'03 Assumptions'!$B$23</f>
        <v/>
      </c>
    </row>
    <row r="28">
      <c r="B28" s="7" t="n">
        <v>0.225</v>
      </c>
      <c r="C28" s="26">
        <f>(SUMPRODUCT( (1019.3*(1+C$26)^'05 Revenue Build'!$F$4:$O$4) * ( ((0.216+($B28-0.216)*(('05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Capital'!$B$12*1019.3*((1+C$26)^'05 Revenue Build'!$F$4:$O$4-(1+C$26)^('05 Revenue Build'!$F$4:$O$4-1)) / (1+'10 WACC'!$B$15)^'05 Revenue Build'!$F$4:$O$4 )+ (1019.3*(1+C$26)^10*(($B28-'03 Assumptions'!$B$22)*(1-'03 Assumptions'!$B$21)+'03 Assumptions'!$B$22-'03 Assumptions'!$F$14-'03 Assumptions'!$B$43-'07 Working Capital'!$B$12*C$26)*(1+'03 Assumptions'!$F$16)/('10 WACC'!$B$15-'03 Assumptions'!$F$16))/(1+'10 WACC'!$B$15)^10+ '03 Assumptions'!$B$44)/'03 Assumptions'!$B$23</f>
        <v/>
      </c>
      <c r="D28" s="26">
        <f>(SUMPRODUCT( (1019.3*(1+D$26)^'05 Revenue Build'!$F$4:$O$4) * ( ((0.216+($B28-0.216)*(('05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Capital'!$B$12*1019.3*((1+D$26)^'05 Revenue Build'!$F$4:$O$4-(1+D$26)^('05 Revenue Build'!$F$4:$O$4-1)) / (1+'10 WACC'!$B$15)^'05 Revenue Build'!$F$4:$O$4 )+ (1019.3*(1+D$26)^10*(($B28-'03 Assumptions'!$B$22)*(1-'03 Assumptions'!$B$21)+'03 Assumptions'!$B$22-'03 Assumptions'!$F$14-'03 Assumptions'!$B$43-'07 Working Capital'!$B$12*D$26)*(1+'03 Assumptions'!$F$16)/('10 WACC'!$B$15-'03 Assumptions'!$F$16))/(1+'10 WACC'!$B$15)^10+ '03 Assumptions'!$B$44)/'03 Assumptions'!$B$23</f>
        <v/>
      </c>
      <c r="E28" s="26">
        <f>(SUMPRODUCT( (1019.3*(1+E$26)^'05 Revenue Build'!$F$4:$O$4) * ( ((0.216+($B28-0.216)*(('05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Capital'!$B$12*1019.3*((1+E$26)^'05 Revenue Build'!$F$4:$O$4-(1+E$26)^('05 Revenue Build'!$F$4:$O$4-1)) / (1+'10 WACC'!$B$15)^'05 Revenue Build'!$F$4:$O$4 )+ (1019.3*(1+E$26)^10*(($B28-'03 Assumptions'!$B$22)*(1-'03 Assumptions'!$B$21)+'03 Assumptions'!$B$22-'03 Assumptions'!$F$14-'03 Assumptions'!$B$43-'07 Working Capital'!$B$12*E$26)*(1+'03 Assumptions'!$F$16)/('10 WACC'!$B$15-'03 Assumptions'!$F$16))/(1+'10 WACC'!$B$15)^10+ '03 Assumptions'!$B$44)/'03 Assumptions'!$B$23</f>
        <v/>
      </c>
      <c r="F28" s="26">
        <f>(SUMPRODUCT( (1019.3*(1+F$26)^'05 Revenue Build'!$F$4:$O$4) * ( ((0.216+($B28-0.216)*(('05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Capital'!$B$12*1019.3*((1+F$26)^'05 Revenue Build'!$F$4:$O$4-(1+F$26)^('05 Revenue Build'!$F$4:$O$4-1)) / (1+'10 WACC'!$B$15)^'05 Revenue Build'!$F$4:$O$4 )+ (1019.3*(1+F$26)^10*(($B28-'03 Assumptions'!$B$22)*(1-'03 Assumptions'!$B$21)+'03 Assumptions'!$B$22-'03 Assumptions'!$F$14-'03 Assumptions'!$B$43-'07 Working Capital'!$B$12*F$26)*(1+'03 Assumptions'!$F$16)/('10 WACC'!$B$15-'03 Assumptions'!$F$16))/(1+'10 WACC'!$B$15)^10+ '03 Assumptions'!$B$44)/'03 Assumptions'!$B$23</f>
        <v/>
      </c>
      <c r="G28" s="26">
        <f>(SUMPRODUCT( (1019.3*(1+G$26)^'05 Revenue Build'!$F$4:$O$4) * ( ((0.216+($B28-0.216)*(('05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Capital'!$B$12*1019.3*((1+G$26)^'05 Revenue Build'!$F$4:$O$4-(1+G$26)^('05 Revenue Build'!$F$4:$O$4-1)) / (1+'10 WACC'!$B$15)^'05 Revenue Build'!$F$4:$O$4 )+ (1019.3*(1+G$26)^10*(($B28-'03 Assumptions'!$B$22)*(1-'03 Assumptions'!$B$21)+'03 Assumptions'!$B$22-'03 Assumptions'!$F$14-'03 Assumptions'!$B$43-'07 Working Capital'!$B$12*G$26)*(1+'03 Assumptions'!$F$16)/('10 WACC'!$B$15-'03 Assumptions'!$F$16))/(1+'10 WACC'!$B$15)^10+ '03 Assumptions'!$B$44)/'03 Assumptions'!$B$23</f>
        <v/>
      </c>
    </row>
    <row r="29">
      <c r="B29" s="7" t="n">
        <v>0.235</v>
      </c>
      <c r="C29" s="26">
        <f>(SUMPRODUCT( (1019.3*(1+C$26)^'05 Revenue Build'!$F$4:$O$4) * ( ((0.216+($B29-0.216)*(('05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Capital'!$B$12*1019.3*((1+C$26)^'05 Revenue Build'!$F$4:$O$4-(1+C$26)^('05 Revenue Build'!$F$4:$O$4-1)) / (1+'10 WACC'!$B$15)^'05 Revenue Build'!$F$4:$O$4 )+ (1019.3*(1+C$26)^10*(($B29-'03 Assumptions'!$B$22)*(1-'03 Assumptions'!$B$21)+'03 Assumptions'!$B$22-'03 Assumptions'!$F$14-'03 Assumptions'!$B$43-'07 Working Capital'!$B$12*C$26)*(1+'03 Assumptions'!$F$16)/('10 WACC'!$B$15-'03 Assumptions'!$F$16))/(1+'10 WACC'!$B$15)^10+ '03 Assumptions'!$B$44)/'03 Assumptions'!$B$23</f>
        <v/>
      </c>
      <c r="D29" s="26">
        <f>(SUMPRODUCT( (1019.3*(1+D$26)^'05 Revenue Build'!$F$4:$O$4) * ( ((0.216+($B29-0.216)*(('05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Capital'!$B$12*1019.3*((1+D$26)^'05 Revenue Build'!$F$4:$O$4-(1+D$26)^('05 Revenue Build'!$F$4:$O$4-1)) / (1+'10 WACC'!$B$15)^'05 Revenue Build'!$F$4:$O$4 )+ (1019.3*(1+D$26)^10*(($B29-'03 Assumptions'!$B$22)*(1-'03 Assumptions'!$B$21)+'03 Assumptions'!$B$22-'03 Assumptions'!$F$14-'03 Assumptions'!$B$43-'07 Working Capital'!$B$12*D$26)*(1+'03 Assumptions'!$F$16)/('10 WACC'!$B$15-'03 Assumptions'!$F$16))/(1+'10 WACC'!$B$15)^10+ '03 Assumptions'!$B$44)/'03 Assumptions'!$B$23</f>
        <v/>
      </c>
      <c r="E29" s="26">
        <f>(SUMPRODUCT( (1019.3*(1+E$26)^'05 Revenue Build'!$F$4:$O$4) * ( ((0.216+($B29-0.216)*(('05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Capital'!$B$12*1019.3*((1+E$26)^'05 Revenue Build'!$F$4:$O$4-(1+E$26)^('05 Revenue Build'!$F$4:$O$4-1)) / (1+'10 WACC'!$B$15)^'05 Revenue Build'!$F$4:$O$4 )+ (1019.3*(1+E$26)^10*(($B29-'03 Assumptions'!$B$22)*(1-'03 Assumptions'!$B$21)+'03 Assumptions'!$B$22-'03 Assumptions'!$F$14-'03 Assumptions'!$B$43-'07 Working Capital'!$B$12*E$26)*(1+'03 Assumptions'!$F$16)/('10 WACC'!$B$15-'03 Assumptions'!$F$16))/(1+'10 WACC'!$B$15)^10+ '03 Assumptions'!$B$44)/'03 Assumptions'!$B$23</f>
        <v/>
      </c>
      <c r="F29" s="26">
        <f>(SUMPRODUCT( (1019.3*(1+F$26)^'05 Revenue Build'!$F$4:$O$4) * ( ((0.216+($B29-0.216)*(('05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Capital'!$B$12*1019.3*((1+F$26)^'05 Revenue Build'!$F$4:$O$4-(1+F$26)^('05 Revenue Build'!$F$4:$O$4-1)) / (1+'10 WACC'!$B$15)^'05 Revenue Build'!$F$4:$O$4 )+ (1019.3*(1+F$26)^10*(($B29-'03 Assumptions'!$B$22)*(1-'03 Assumptions'!$B$21)+'03 Assumptions'!$B$22-'03 Assumptions'!$F$14-'03 Assumptions'!$B$43-'07 Working Capital'!$B$12*F$26)*(1+'03 Assumptions'!$F$16)/('10 WACC'!$B$15-'03 Assumptions'!$F$16))/(1+'10 WACC'!$B$15)^10+ '03 Assumptions'!$B$44)/'03 Assumptions'!$B$23</f>
        <v/>
      </c>
      <c r="G29" s="26">
        <f>(SUMPRODUCT( (1019.3*(1+G$26)^'05 Revenue Build'!$F$4:$O$4) * ( ((0.216+($B29-0.216)*(('05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Capital'!$B$12*1019.3*((1+G$26)^'05 Revenue Build'!$F$4:$O$4-(1+G$26)^('05 Revenue Build'!$F$4:$O$4-1)) / (1+'10 WACC'!$B$15)^'05 Revenue Build'!$F$4:$O$4 )+ (1019.3*(1+G$26)^10*(($B29-'03 Assumptions'!$B$22)*(1-'03 Assumptions'!$B$21)+'03 Assumptions'!$B$22-'03 Assumptions'!$F$14-'03 Assumptions'!$B$43-'07 Working Capital'!$B$12*G$26)*(1+'03 Assumptions'!$F$16)/('10 WACC'!$B$15-'03 Assumptions'!$F$16))/(1+'10 WACC'!$B$15)^10+ '03 Assumptions'!$B$44)/'03 Assumptions'!$B$23</f>
        <v/>
      </c>
    </row>
    <row r="30">
      <c r="B30" s="7" t="n">
        <v>0.245</v>
      </c>
      <c r="C30" s="26">
        <f>(SUMPRODUCT( (1019.3*(1+C$26)^'05 Revenue Build'!$F$4:$O$4) * ( ((0.216+($B30-0.216)*(('05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Capital'!$B$12*1019.3*((1+C$26)^'05 Revenue Build'!$F$4:$O$4-(1+C$26)^('05 Revenue Build'!$F$4:$O$4-1)) / (1+'10 WACC'!$B$15)^'05 Revenue Build'!$F$4:$O$4 )+ (1019.3*(1+C$26)^10*(($B30-'03 Assumptions'!$B$22)*(1-'03 Assumptions'!$B$21)+'03 Assumptions'!$B$22-'03 Assumptions'!$F$14-'03 Assumptions'!$B$43-'07 Working Capital'!$B$12*C$26)*(1+'03 Assumptions'!$F$16)/('10 WACC'!$B$15-'03 Assumptions'!$F$16))/(1+'10 WACC'!$B$15)^10+ '03 Assumptions'!$B$44)/'03 Assumptions'!$B$23</f>
        <v/>
      </c>
      <c r="D30" s="26">
        <f>(SUMPRODUCT( (1019.3*(1+D$26)^'05 Revenue Build'!$F$4:$O$4) * ( ((0.216+($B30-0.216)*(('05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Capital'!$B$12*1019.3*((1+D$26)^'05 Revenue Build'!$F$4:$O$4-(1+D$26)^('05 Revenue Build'!$F$4:$O$4-1)) / (1+'10 WACC'!$B$15)^'05 Revenue Build'!$F$4:$O$4 )+ (1019.3*(1+D$26)^10*(($B30-'03 Assumptions'!$B$22)*(1-'03 Assumptions'!$B$21)+'03 Assumptions'!$B$22-'03 Assumptions'!$F$14-'03 Assumptions'!$B$43-'07 Working Capital'!$B$12*D$26)*(1+'03 Assumptions'!$F$16)/('10 WACC'!$B$15-'03 Assumptions'!$F$16))/(1+'10 WACC'!$B$15)^10+ '03 Assumptions'!$B$44)/'03 Assumptions'!$B$23</f>
        <v/>
      </c>
      <c r="E30" s="26">
        <f>(SUMPRODUCT( (1019.3*(1+E$26)^'05 Revenue Build'!$F$4:$O$4) * ( ((0.216+($B30-0.216)*(('05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Capital'!$B$12*1019.3*((1+E$26)^'05 Revenue Build'!$F$4:$O$4-(1+E$26)^('05 Revenue Build'!$F$4:$O$4-1)) / (1+'10 WACC'!$B$15)^'05 Revenue Build'!$F$4:$O$4 )+ (1019.3*(1+E$26)^10*(($B30-'03 Assumptions'!$B$22)*(1-'03 Assumptions'!$B$21)+'03 Assumptions'!$B$22-'03 Assumptions'!$F$14-'03 Assumptions'!$B$43-'07 Working Capital'!$B$12*E$26)*(1+'03 Assumptions'!$F$16)/('10 WACC'!$B$15-'03 Assumptions'!$F$16))/(1+'10 WACC'!$B$15)^10+ '03 Assumptions'!$B$44)/'03 Assumptions'!$B$23</f>
        <v/>
      </c>
      <c r="F30" s="26">
        <f>(SUMPRODUCT( (1019.3*(1+F$26)^'05 Revenue Build'!$F$4:$O$4) * ( ((0.216+($B30-0.216)*(('05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Capital'!$B$12*1019.3*((1+F$26)^'05 Revenue Build'!$F$4:$O$4-(1+F$26)^('05 Revenue Build'!$F$4:$O$4-1)) / (1+'10 WACC'!$B$15)^'05 Revenue Build'!$F$4:$O$4 )+ (1019.3*(1+F$26)^10*(($B30-'03 Assumptions'!$B$22)*(1-'03 Assumptions'!$B$21)+'03 Assumptions'!$B$22-'03 Assumptions'!$F$14-'03 Assumptions'!$B$43-'07 Working Capital'!$B$12*F$26)*(1+'03 Assumptions'!$F$16)/('10 WACC'!$B$15-'03 Assumptions'!$F$16))/(1+'10 WACC'!$B$15)^10+ '03 Assumptions'!$B$44)/'03 Assumptions'!$B$23</f>
        <v/>
      </c>
      <c r="G30" s="26">
        <f>(SUMPRODUCT( (1019.3*(1+G$26)^'05 Revenue Build'!$F$4:$O$4) * ( ((0.216+($B30-0.216)*(('05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Capital'!$B$12*1019.3*((1+G$26)^'05 Revenue Build'!$F$4:$O$4-(1+G$26)^('05 Revenue Build'!$F$4:$O$4-1)) / (1+'10 WACC'!$B$15)^'05 Revenue Build'!$F$4:$O$4 )+ (1019.3*(1+G$26)^10*(($B30-'03 Assumptions'!$B$22)*(1-'03 Assumptions'!$B$21)+'03 Assumptions'!$B$22-'03 Assumptions'!$F$14-'03 Assumptions'!$B$43-'07 Working Capital'!$B$12*G$26)*(1+'03 Assumptions'!$F$16)/('10 WACC'!$B$15-'03 Assumptions'!$F$16))/(1+'10 WACC'!$B$15)^10+ '03 Assumptions'!$B$44)/'03 Assumptions'!$B$23</f>
        <v/>
      </c>
    </row>
    <row r="31">
      <c r="B31" s="7" t="n">
        <v>0.255</v>
      </c>
      <c r="C31" s="26">
        <f>(SUMPRODUCT( (1019.3*(1+C$26)^'05 Revenue Build'!$F$4:$O$4) * ( ((0.216+($B31-0.216)*(('05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Capital'!$B$12*1019.3*((1+C$26)^'05 Revenue Build'!$F$4:$O$4-(1+C$26)^('05 Revenue Build'!$F$4:$O$4-1)) / (1+'10 WACC'!$B$15)^'05 Revenue Build'!$F$4:$O$4 )+ (1019.3*(1+C$26)^10*(($B31-'03 Assumptions'!$B$22)*(1-'03 Assumptions'!$B$21)+'03 Assumptions'!$B$22-'03 Assumptions'!$F$14-'03 Assumptions'!$B$43-'07 Working Capital'!$B$12*C$26)*(1+'03 Assumptions'!$F$16)/('10 WACC'!$B$15-'03 Assumptions'!$F$16))/(1+'10 WACC'!$B$15)^10+ '03 Assumptions'!$B$44)/'03 Assumptions'!$B$23</f>
        <v/>
      </c>
      <c r="D31" s="26">
        <f>(SUMPRODUCT( (1019.3*(1+D$26)^'05 Revenue Build'!$F$4:$O$4) * ( ((0.216+($B31-0.216)*(('05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Capital'!$B$12*1019.3*((1+D$26)^'05 Revenue Build'!$F$4:$O$4-(1+D$26)^('05 Revenue Build'!$F$4:$O$4-1)) / (1+'10 WACC'!$B$15)^'05 Revenue Build'!$F$4:$O$4 )+ (1019.3*(1+D$26)^10*(($B31-'03 Assumptions'!$B$22)*(1-'03 Assumptions'!$B$21)+'03 Assumptions'!$B$22-'03 Assumptions'!$F$14-'03 Assumptions'!$B$43-'07 Working Capital'!$B$12*D$26)*(1+'03 Assumptions'!$F$16)/('10 WACC'!$B$15-'03 Assumptions'!$F$16))/(1+'10 WACC'!$B$15)^10+ '03 Assumptions'!$B$44)/'03 Assumptions'!$B$23</f>
        <v/>
      </c>
      <c r="E31" s="26">
        <f>(SUMPRODUCT( (1019.3*(1+E$26)^'05 Revenue Build'!$F$4:$O$4) * ( ((0.216+($B31-0.216)*(('05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Capital'!$B$12*1019.3*((1+E$26)^'05 Revenue Build'!$F$4:$O$4-(1+E$26)^('05 Revenue Build'!$F$4:$O$4-1)) / (1+'10 WACC'!$B$15)^'05 Revenue Build'!$F$4:$O$4 )+ (1019.3*(1+E$26)^10*(($B31-'03 Assumptions'!$B$22)*(1-'03 Assumptions'!$B$21)+'03 Assumptions'!$B$22-'03 Assumptions'!$F$14-'03 Assumptions'!$B$43-'07 Working Capital'!$B$12*E$26)*(1+'03 Assumptions'!$F$16)/('10 WACC'!$B$15-'03 Assumptions'!$F$16))/(1+'10 WACC'!$B$15)^10+ '03 Assumptions'!$B$44)/'03 Assumptions'!$B$23</f>
        <v/>
      </c>
      <c r="F31" s="26">
        <f>(SUMPRODUCT( (1019.3*(1+F$26)^'05 Revenue Build'!$F$4:$O$4) * ( ((0.216+($B31-0.216)*(('05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Capital'!$B$12*1019.3*((1+F$26)^'05 Revenue Build'!$F$4:$O$4-(1+F$26)^('05 Revenue Build'!$F$4:$O$4-1)) / (1+'10 WACC'!$B$15)^'05 Revenue Build'!$F$4:$O$4 )+ (1019.3*(1+F$26)^10*(($B31-'03 Assumptions'!$B$22)*(1-'03 Assumptions'!$B$21)+'03 Assumptions'!$B$22-'03 Assumptions'!$F$14-'03 Assumptions'!$B$43-'07 Working Capital'!$B$12*F$26)*(1+'03 Assumptions'!$F$16)/('10 WACC'!$B$15-'03 Assumptions'!$F$16))/(1+'10 WACC'!$B$15)^10+ '03 Assumptions'!$B$44)/'03 Assumptions'!$B$23</f>
        <v/>
      </c>
      <c r="G31" s="26">
        <f>(SUMPRODUCT( (1019.3*(1+G$26)^'05 Revenue Build'!$F$4:$O$4) * ( ((0.216+($B31-0.216)*(('05 Revenue Build'!$F$4:$O$4)*('05 Revenue Build'!$F$4:$O$4&lt;=7)+7*('05 Revenue Build'!$F$4:$O$4&gt;7))/7)-'03 Assumptions'!$B$22)*(1-'03 Assumptions'!$B$21) + '03 Assumptions'!$B$22 - '03 Assumptions'!$F$14 - '03 Assumptions'!$B$43 ) / (1+'10 WACC'!$B$15)^'05 Revenue Build'!$F$4:$O$4 )- SUMPRODUCT( '07 Working Capital'!$B$12*1019.3*((1+G$26)^'05 Revenue Build'!$F$4:$O$4-(1+G$26)^('05 Revenue Build'!$F$4:$O$4-1)) / (1+'10 WACC'!$B$15)^'05 Revenue Build'!$F$4:$O$4 )+ (1019.3*(1+G$26)^10*(($B31-'03 Assumptions'!$B$22)*(1-'03 Assumptions'!$B$21)+'03 Assumptions'!$B$22-'03 Assumptions'!$F$14-'03 Assumptions'!$B$43-'07 Working Capital'!$B$12*G$26)*(1+'03 Assumptions'!$F$16)/('10 WACC'!$B$15-'03 Assumptions'!$F$16))/(1+'10 WACC'!$B$15)^10+ '03 Assumptions'!$B$44)/'03 Assumptions'!$B$23</f>
        <v/>
      </c>
    </row>
    <row r="33">
      <c r="A33" s="3" t="inlineStr">
        <is>
          <t>Grid 3 is a full re-derivation, EXACT given its axis definitions (total-revenue CAGR, margin endpoint); digital</t>
        </is>
      </c>
    </row>
    <row r="34">
      <c r="A34" s="3" t="inlineStr">
        <is>
          <t>mix and bear path-shape definitionally held at base. Grids 1-2 discount the LIVE model FCFF row - no approximation.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7" t="inlineStr">
        <is>
          <t>SCENARIOS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3">
      <c r="A3" s="3" t="inlineStr">
        <is>
          <t>To view a scenario through the FULL model, set the switch on 03 Assumptions (B3).</t>
        </is>
      </c>
    </row>
    <row r="4">
      <c r="A4" s="3" t="inlineStr">
        <is>
          <t>This sheet lists all three assumption sets; the ACTIVE column shows full-model outputs for the current switch.</t>
        </is>
      </c>
    </row>
    <row r="6">
      <c r="A6" s="2" t="inlineStr">
        <is>
          <t>Assumption</t>
        </is>
      </c>
      <c r="B6" s="2" t="inlineStr">
        <is>
          <t>Bear</t>
        </is>
      </c>
      <c r="C6" s="2" t="inlineStr">
        <is>
          <t>Base</t>
        </is>
      </c>
      <c r="D6" s="2" t="inlineStr">
        <is>
          <t>Bull</t>
        </is>
      </c>
    </row>
    <row r="7">
      <c r="A7" s="4">
        <f>'03 Assumptions'!A6</f>
        <v/>
      </c>
      <c r="B7" s="20">
        <f>'03 Assumptions'!C6</f>
        <v/>
      </c>
      <c r="C7" s="20">
        <f>'03 Assumptions'!D6</f>
        <v/>
      </c>
      <c r="D7" s="20">
        <f>'03 Assumptions'!E6</f>
        <v/>
      </c>
    </row>
    <row r="8">
      <c r="A8" s="4">
        <f>'03 Assumptions'!A7</f>
        <v/>
      </c>
      <c r="B8" s="20">
        <f>'03 Assumptions'!C7</f>
        <v/>
      </c>
      <c r="C8" s="20">
        <f>'03 Assumptions'!D7</f>
        <v/>
      </c>
      <c r="D8" s="20">
        <f>'03 Assumptions'!E7</f>
        <v/>
      </c>
    </row>
    <row r="9">
      <c r="A9" s="4">
        <f>'03 Assumptions'!A8</f>
        <v/>
      </c>
      <c r="B9" s="20">
        <f>'03 Assumptions'!C8</f>
        <v/>
      </c>
      <c r="C9" s="20">
        <f>'03 Assumptions'!D8</f>
        <v/>
      </c>
      <c r="D9" s="20">
        <f>'03 Assumptions'!E8</f>
        <v/>
      </c>
    </row>
    <row r="10">
      <c r="A10" s="4">
        <f>'03 Assumptions'!A9</f>
        <v/>
      </c>
      <c r="B10" s="20">
        <f>'03 Assumptions'!C9</f>
        <v/>
      </c>
      <c r="C10" s="20">
        <f>'03 Assumptions'!D9</f>
        <v/>
      </c>
      <c r="D10" s="20">
        <f>'03 Assumptions'!E9</f>
        <v/>
      </c>
    </row>
    <row r="11">
      <c r="A11" s="4">
        <f>'03 Assumptions'!A10</f>
        <v/>
      </c>
      <c r="B11" s="20">
        <f>'03 Assumptions'!C10</f>
        <v/>
      </c>
      <c r="C11" s="20">
        <f>'03 Assumptions'!D10</f>
        <v/>
      </c>
      <c r="D11" s="20">
        <f>'03 Assumptions'!E10</f>
        <v/>
      </c>
    </row>
    <row r="12">
      <c r="A12" s="4">
        <f>'03 Assumptions'!A11</f>
        <v/>
      </c>
      <c r="B12" s="20">
        <f>'03 Assumptions'!C11</f>
        <v/>
      </c>
      <c r="C12" s="20">
        <f>'03 Assumptions'!D11</f>
        <v/>
      </c>
      <c r="D12" s="20">
        <f>'03 Assumptions'!E11</f>
        <v/>
      </c>
    </row>
    <row r="13">
      <c r="A13" s="4">
        <f>'03 Assumptions'!A12</f>
        <v/>
      </c>
      <c r="B13" s="20">
        <f>'03 Assumptions'!C12</f>
        <v/>
      </c>
      <c r="C13" s="20">
        <f>'03 Assumptions'!D12</f>
        <v/>
      </c>
      <c r="D13" s="20">
        <f>'03 Assumptions'!E12</f>
        <v/>
      </c>
    </row>
    <row r="14">
      <c r="A14" s="4">
        <f>'03 Assumptions'!A13</f>
        <v/>
      </c>
      <c r="B14" s="20">
        <f>'03 Assumptions'!C13</f>
        <v/>
      </c>
      <c r="C14" s="20">
        <f>'03 Assumptions'!D13</f>
        <v/>
      </c>
      <c r="D14" s="20">
        <f>'03 Assumptions'!E13</f>
        <v/>
      </c>
    </row>
    <row r="15">
      <c r="A15" s="4">
        <f>'03 Assumptions'!A14</f>
        <v/>
      </c>
      <c r="B15" s="20">
        <f>'03 Assumptions'!C14</f>
        <v/>
      </c>
      <c r="C15" s="20">
        <f>'03 Assumptions'!D14</f>
        <v/>
      </c>
      <c r="D15" s="20">
        <f>'03 Assumptions'!E14</f>
        <v/>
      </c>
    </row>
    <row r="16">
      <c r="A16" s="4">
        <f>'03 Assumptions'!A15</f>
        <v/>
      </c>
      <c r="B16" s="20">
        <f>'03 Assumptions'!C15</f>
        <v/>
      </c>
      <c r="C16" s="20">
        <f>'03 Assumptions'!D15</f>
        <v/>
      </c>
      <c r="D16" s="20">
        <f>'03 Assumptions'!E15</f>
        <v/>
      </c>
    </row>
    <row r="17">
      <c r="A17" s="4">
        <f>'03 Assumptions'!A16</f>
        <v/>
      </c>
      <c r="B17" s="20">
        <f>'03 Assumptions'!C16</f>
        <v/>
      </c>
      <c r="C17" s="20">
        <f>'03 Assumptions'!D16</f>
        <v/>
      </c>
      <c r="D17" s="20">
        <f>'03 Assumptions'!E16</f>
        <v/>
      </c>
    </row>
    <row r="18">
      <c r="A18" s="4">
        <f>'03 Assumptions'!A17</f>
        <v/>
      </c>
      <c r="B18" s="23">
        <f>'03 Assumptions'!C17</f>
        <v/>
      </c>
      <c r="C18" s="23">
        <f>'03 Assumptions'!D17</f>
        <v/>
      </c>
      <c r="D18" s="23">
        <f>'03 Assumptions'!E17</f>
        <v/>
      </c>
    </row>
    <row r="20">
      <c r="A20" s="2" t="inlineStr">
        <is>
          <t>ACTIVE scenario full-model outputs</t>
        </is>
      </c>
    </row>
    <row r="21">
      <c r="A21" s="3" t="inlineStr">
        <is>
          <t>Active scenario (1/2/3)</t>
        </is>
      </c>
      <c r="B21" s="19">
        <f>'03 Assumptions'!$B$3</f>
        <v/>
      </c>
    </row>
    <row r="22">
      <c r="A22" s="3" t="inlineStr">
        <is>
          <t>Value per share (Gordon)</t>
        </is>
      </c>
      <c r="B22" s="25">
        <f>'11 DCF Valuation'!B27</f>
        <v/>
      </c>
    </row>
    <row r="23">
      <c r="A23" s="3" t="inlineStr">
        <is>
          <t>Value per share (exit multiple)</t>
        </is>
      </c>
      <c r="B23" s="25">
        <f>'11 DCF Valuation'!B31</f>
        <v/>
      </c>
    </row>
    <row r="24">
      <c r="A24" s="3" t="inlineStr">
        <is>
          <t>Upside vs price</t>
        </is>
      </c>
      <c r="B24" s="20">
        <f>'11 DCF Valuation'!B29</f>
        <v/>
      </c>
    </row>
    <row r="26">
      <c r="A26" s="2" t="inlineStr">
        <is>
          <t>Why each scenario exists</t>
        </is>
      </c>
    </row>
    <row r="27">
      <c r="A27" s="3" t="inlineStr">
        <is>
          <t>BEAR: BtoB capex cycle turns 2026-27; margin expansion stalls (mean reversion); digital never monetises. Tests cyclical downside.</t>
        </is>
      </c>
    </row>
    <row r="28">
      <c r="A28" s="3" t="inlineStr">
        <is>
          <t>BASE: growth normalises toward GDP+, margins fade to 23.5% endpoint as procurement gains annualise; digital modest. Most-likely path.</t>
        </is>
      </c>
    </row>
    <row r="29">
      <c r="A29" s="3" t="inlineStr">
        <is>
          <t>BULL: platform thesis works — attach doubles, ARPU compounds, margins reach 25.5% on mix. Tests what consensus TP requires.</t>
        </is>
      </c>
    </row>
    <row r="30">
      <c r="A30" s="3" t="inlineStr">
        <is>
          <t>Most valuable assumptions (sensitivity ranking): BtoB growth path &gt; margin endpoint &gt; WACC &gt; terminal g &gt; digital attach &gt; capex.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7" t="inlineStr">
        <is>
          <t>CHARTS &amp; DASHBOARD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3">
      <c r="A3" s="2" t="inlineStr">
        <is>
          <t>KEY OUTPUTS (active scenario)</t>
        </is>
      </c>
    </row>
    <row r="4">
      <c r="A4" s="3" t="inlineStr">
        <is>
          <t>Value per share — Gordon (€)</t>
        </is>
      </c>
      <c r="B4" s="25">
        <f>'11 DCF Valuation'!B27</f>
        <v/>
      </c>
    </row>
    <row r="5">
      <c r="A5" s="3" t="inlineStr">
        <is>
          <t>Value per share — exit multiple (€)</t>
        </is>
      </c>
      <c r="B5" s="25">
        <f>'11 DCF Valuation'!B31</f>
        <v/>
      </c>
    </row>
    <row r="6">
      <c r="A6" s="3" t="inlineStr">
        <is>
          <t>Current price (€)</t>
        </is>
      </c>
      <c r="B6" s="25">
        <f>'11 DCF Valuation'!B28</f>
        <v/>
      </c>
    </row>
    <row r="7">
      <c r="A7" s="3" t="inlineStr">
        <is>
          <t>Upside / (downside)</t>
        </is>
      </c>
      <c r="B7" s="20">
        <f>'11 DCF Valuation'!B29</f>
        <v/>
      </c>
    </row>
    <row r="8">
      <c r="A8" s="3" t="inlineStr">
        <is>
          <t>WACC</t>
        </is>
      </c>
      <c r="B8" s="20">
        <f>'10 WACC'!B15</f>
        <v/>
      </c>
    </row>
    <row r="9">
      <c r="A9" s="3" t="inlineStr">
        <is>
          <t>Enterprise value (€m)</t>
        </is>
      </c>
      <c r="B9" s="18">
        <f>'11 DCF Valuation'!B23</f>
        <v/>
      </c>
    </row>
    <row r="10">
      <c r="A10" s="3" t="inlineStr">
        <is>
          <t>TV % of EV</t>
        </is>
      </c>
      <c r="B10" s="20">
        <f>'11 DCF Valuation'!B32</f>
        <v/>
      </c>
    </row>
    <row r="11">
      <c r="A11" s="3" t="inlineStr">
        <is>
          <t>2035 revenue (€m)</t>
        </is>
      </c>
      <c r="B11" s="18">
        <f>'05 Revenue Build'!O27</f>
        <v/>
      </c>
    </row>
    <row r="12">
      <c r="A12" s="3" t="inlineStr">
        <is>
          <t>2035 EBITDA margin</t>
        </is>
      </c>
      <c r="B12" s="20">
        <f>'06 Operating Model'!O5</f>
        <v/>
      </c>
    </row>
    <row r="13">
      <c r="A13" s="3" t="inlineStr">
        <is>
          <t>2035 digital % of revenue</t>
        </is>
      </c>
      <c r="B13" s="20">
        <f>'05 Revenue Build'!O29</f>
        <v/>
      </c>
    </row>
    <row r="16">
      <c r="A16" s="2" t="inlineStr">
        <is>
          <t>Chart data (live links)</t>
        </is>
      </c>
    </row>
    <row r="17">
      <c r="A17" s="3" t="inlineStr">
        <is>
          <t>Year</t>
        </is>
      </c>
      <c r="F17" s="17" t="n">
        <v>2026</v>
      </c>
      <c r="G17" s="17" t="n">
        <v>2027</v>
      </c>
      <c r="H17" s="17" t="n">
        <v>2028</v>
      </c>
      <c r="I17" s="17" t="n">
        <v>2029</v>
      </c>
      <c r="J17" s="17" t="n">
        <v>2030</v>
      </c>
      <c r="K17" s="17" t="n">
        <v>2031</v>
      </c>
      <c r="L17" s="17" t="n">
        <v>2032</v>
      </c>
      <c r="M17" s="17" t="n">
        <v>2033</v>
      </c>
      <c r="N17" s="17" t="n">
        <v>2034</v>
      </c>
      <c r="O17" s="17" t="n">
        <v>2035</v>
      </c>
    </row>
    <row r="18">
      <c r="A18" s="3" t="inlineStr">
        <is>
          <t>Revenue</t>
        </is>
      </c>
      <c r="F18" s="18">
        <f>'05 Revenue Build'!F27</f>
        <v/>
      </c>
      <c r="G18" s="18">
        <f>'05 Revenue Build'!G27</f>
        <v/>
      </c>
      <c r="H18" s="18">
        <f>'05 Revenue Build'!H27</f>
        <v/>
      </c>
      <c r="I18" s="18">
        <f>'05 Revenue Build'!I27</f>
        <v/>
      </c>
      <c r="J18" s="18">
        <f>'05 Revenue Build'!J27</f>
        <v/>
      </c>
      <c r="K18" s="18">
        <f>'05 Revenue Build'!K27</f>
        <v/>
      </c>
      <c r="L18" s="18">
        <f>'05 Revenue Build'!L27</f>
        <v/>
      </c>
      <c r="M18" s="18">
        <f>'05 Revenue Build'!M27</f>
        <v/>
      </c>
      <c r="N18" s="18">
        <f>'05 Revenue Build'!N27</f>
        <v/>
      </c>
      <c r="O18" s="18">
        <f>'05 Revenue Build'!O27</f>
        <v/>
      </c>
    </row>
    <row r="19">
      <c r="A19" s="3" t="inlineStr">
        <is>
          <t>EBITDA</t>
        </is>
      </c>
      <c r="F19" s="18">
        <f>'06 Operating Model'!F6</f>
        <v/>
      </c>
      <c r="G19" s="18">
        <f>'06 Operating Model'!G6</f>
        <v/>
      </c>
      <c r="H19" s="18">
        <f>'06 Operating Model'!H6</f>
        <v/>
      </c>
      <c r="I19" s="18">
        <f>'06 Operating Model'!I6</f>
        <v/>
      </c>
      <c r="J19" s="18">
        <f>'06 Operating Model'!J6</f>
        <v/>
      </c>
      <c r="K19" s="18">
        <f>'06 Operating Model'!K6</f>
        <v/>
      </c>
      <c r="L19" s="18">
        <f>'06 Operating Model'!L6</f>
        <v/>
      </c>
      <c r="M19" s="18">
        <f>'06 Operating Model'!M6</f>
        <v/>
      </c>
      <c r="N19" s="18">
        <f>'06 Operating Model'!N6</f>
        <v/>
      </c>
      <c r="O19" s="18">
        <f>'06 Operating Model'!O6</f>
        <v/>
      </c>
    </row>
    <row r="20">
      <c r="A20" s="3" t="inlineStr">
        <is>
          <t>FCFF</t>
        </is>
      </c>
      <c r="F20" s="18">
        <f>'09 Free Cash Flow'!F9</f>
        <v/>
      </c>
      <c r="G20" s="18">
        <f>'09 Free Cash Flow'!G9</f>
        <v/>
      </c>
      <c r="H20" s="18">
        <f>'09 Free Cash Flow'!H9</f>
        <v/>
      </c>
      <c r="I20" s="18">
        <f>'09 Free Cash Flow'!I9</f>
        <v/>
      </c>
      <c r="J20" s="18">
        <f>'09 Free Cash Flow'!J9</f>
        <v/>
      </c>
      <c r="K20" s="18">
        <f>'09 Free Cash Flow'!K9</f>
        <v/>
      </c>
      <c r="L20" s="18">
        <f>'09 Free Cash Flow'!L9</f>
        <v/>
      </c>
      <c r="M20" s="18">
        <f>'09 Free Cash Flow'!M9</f>
        <v/>
      </c>
      <c r="N20" s="18">
        <f>'09 Free Cash Flow'!N9</f>
        <v/>
      </c>
      <c r="O20" s="18">
        <f>'09 Free Cash Flow'!O9</f>
        <v/>
      </c>
    </row>
    <row r="21">
      <c r="A21" s="3" t="inlineStr">
        <is>
          <t>BtoB rev</t>
        </is>
      </c>
      <c r="F21" s="18">
        <f>'05 Revenue Build'!F8</f>
        <v/>
      </c>
      <c r="G21" s="18">
        <f>'05 Revenue Build'!G8</f>
        <v/>
      </c>
      <c r="H21" s="18">
        <f>'05 Revenue Build'!H8</f>
        <v/>
      </c>
      <c r="I21" s="18">
        <f>'05 Revenue Build'!I8</f>
        <v/>
      </c>
      <c r="J21" s="18">
        <f>'05 Revenue Build'!J8</f>
        <v/>
      </c>
      <c r="K21" s="18">
        <f>'05 Revenue Build'!K8</f>
        <v/>
      </c>
      <c r="L21" s="18">
        <f>'05 Revenue Build'!L8</f>
        <v/>
      </c>
      <c r="M21" s="18">
        <f>'05 Revenue Build'!M8</f>
        <v/>
      </c>
      <c r="N21" s="18">
        <f>'05 Revenue Build'!N8</f>
        <v/>
      </c>
      <c r="O21" s="18">
        <f>'05 Revenue Build'!O8</f>
        <v/>
      </c>
    </row>
    <row r="22">
      <c r="A22" s="3" t="inlineStr">
        <is>
          <t>BtoC rev</t>
        </is>
      </c>
      <c r="F22" s="18">
        <f>'05 Revenue Build'!F12</f>
        <v/>
      </c>
      <c r="G22" s="18">
        <f>'05 Revenue Build'!G12</f>
        <v/>
      </c>
      <c r="H22" s="18">
        <f>'05 Revenue Build'!H12</f>
        <v/>
      </c>
      <c r="I22" s="18">
        <f>'05 Revenue Build'!I12</f>
        <v/>
      </c>
      <c r="J22" s="18">
        <f>'05 Revenue Build'!J12</f>
        <v/>
      </c>
      <c r="K22" s="18">
        <f>'05 Revenue Build'!K12</f>
        <v/>
      </c>
      <c r="L22" s="18">
        <f>'05 Revenue Build'!L12</f>
        <v/>
      </c>
      <c r="M22" s="18">
        <f>'05 Revenue Build'!M12</f>
        <v/>
      </c>
      <c r="N22" s="18">
        <f>'05 Revenue Build'!N12</f>
        <v/>
      </c>
      <c r="O22" s="18">
        <f>'05 Revenue Build'!O12</f>
        <v/>
      </c>
    </row>
    <row r="23">
      <c r="A23" s="3" t="inlineStr">
        <is>
          <t>Digital rev</t>
        </is>
      </c>
      <c r="F23" s="18">
        <f>'05 Revenue Build'!F25</f>
        <v/>
      </c>
      <c r="G23" s="18">
        <f>'05 Revenue Build'!G25</f>
        <v/>
      </c>
      <c r="H23" s="18">
        <f>'05 Revenue Build'!H25</f>
        <v/>
      </c>
      <c r="I23" s="18">
        <f>'05 Revenue Build'!I25</f>
        <v/>
      </c>
      <c r="J23" s="18">
        <f>'05 Revenue Build'!J25</f>
        <v/>
      </c>
      <c r="K23" s="18">
        <f>'05 Revenue Build'!K25</f>
        <v/>
      </c>
      <c r="L23" s="18">
        <f>'05 Revenue Build'!L25</f>
        <v/>
      </c>
      <c r="M23" s="18">
        <f>'05 Revenue Build'!M25</f>
        <v/>
      </c>
      <c r="N23" s="18">
        <f>'05 Revenue Build'!N25</f>
        <v/>
      </c>
      <c r="O23" s="18">
        <f>'05 Revenue Build'!O25</f>
        <v/>
      </c>
    </row>
    <row r="25">
      <c r="A25" s="2" t="inlineStr">
        <is>
          <t>Football field (per share, €)</t>
        </is>
      </c>
    </row>
    <row r="26">
      <c r="A26" s="3" t="inlineStr">
        <is>
          <t>Method</t>
        </is>
      </c>
      <c r="B26" s="3" t="inlineStr">
        <is>
          <t>Low</t>
        </is>
      </c>
      <c r="C26" s="3" t="inlineStr">
        <is>
          <t>High</t>
        </is>
      </c>
    </row>
    <row r="27">
      <c r="A27" s="3" t="inlineStr">
        <is>
          <t>52-week range</t>
        </is>
      </c>
      <c r="B27" s="13" t="n">
        <v>11</v>
      </c>
      <c r="C27" s="13" t="n">
        <v>21.82</v>
      </c>
    </row>
    <row r="28">
      <c r="A28" s="3" t="inlineStr">
        <is>
          <t>Comps (10.5x/14x 2026E EBITDA)</t>
        </is>
      </c>
      <c r="B28" s="26">
        <f>(10.5*'06 Operating Model'!F6+'03 Assumptions'!$B$44)/'03 Assumptions'!$B$23</f>
        <v/>
      </c>
      <c r="C28" s="26">
        <f>(14*'06 Operating Model'!F6+'03 Assumptions'!$B$44)/'03 Assumptions'!$B$23</f>
        <v/>
      </c>
    </row>
    <row r="29">
      <c r="A29" s="3" t="inlineStr">
        <is>
          <t>DCF (grid1 min/max)</t>
        </is>
      </c>
      <c r="B29" s="25">
        <f>'12 Sensitivity Analysis'!C11</f>
        <v/>
      </c>
      <c r="C29" s="25">
        <f>'12 Sensitivity Analysis'!G6</f>
        <v/>
      </c>
    </row>
    <row r="30">
      <c r="A30" s="3" t="inlineStr">
        <is>
          <t>Consensus TP</t>
        </is>
      </c>
      <c r="B30" s="13" t="n">
        <v>19.3</v>
      </c>
      <c r="C30" s="13" t="n">
        <v>20.6</v>
      </c>
    </row>
    <row r="33">
      <c r="A33" t="inlineStr">
        <is>
          <t>ILLUSTRATIVE PROBABILITY-WEIGHTED FAIR VALUE (subjective weights - NOT a headline valuation)</t>
        </is>
      </c>
    </row>
    <row r="34">
      <c r="A34" t="inlineStr">
        <is>
          <t>Scenario</t>
        </is>
      </c>
      <c r="B34" t="inlineStr">
        <is>
          <t>Value (EUR)</t>
        </is>
      </c>
      <c r="C34" t="inlineStr">
        <is>
          <t>Weight</t>
        </is>
      </c>
    </row>
    <row r="35">
      <c r="A35" t="inlineStr">
        <is>
          <t>Bear</t>
        </is>
      </c>
      <c r="B35" t="n">
        <v>8.82</v>
      </c>
      <c r="C35" t="n">
        <v>0.4</v>
      </c>
    </row>
    <row r="36">
      <c r="A36" t="inlineStr">
        <is>
          <t>Base</t>
        </is>
      </c>
      <c r="B36" t="n">
        <v>15.72</v>
      </c>
      <c r="C36" t="n">
        <v>0.4</v>
      </c>
    </row>
    <row r="37">
      <c r="A37" t="inlineStr">
        <is>
          <t>Bull</t>
        </is>
      </c>
      <c r="B37" t="n">
        <v>24.05</v>
      </c>
      <c r="C37" t="n">
        <v>0.2</v>
      </c>
    </row>
    <row r="38">
      <c r="A38" t="inlineStr">
        <is>
          <t>Prob-weighted FV</t>
        </is>
      </c>
      <c r="B38">
        <f>SUMPRODUCT(B35:B37,C35:C37)</f>
        <v/>
      </c>
      <c r="C38">
        <f>SUM(C35:C37)</f>
        <v/>
      </c>
    </row>
    <row r="39">
      <c r="A39" t="inlineStr">
        <is>
          <t>Values recorded from scenario runs 18-Jul-26 (re-run switch 03!B3 to refresh). Weights illustrative (40/40/20); 40% bear reflects cyclical-capex + Americas risk. Headline remains base-case EUR 15.72 / HOLD.</t>
        </is>
      </c>
    </row>
    <row r="40">
      <c r="A40">
        <f>IF(ABS(C38-1)&lt;0.001,"CHECK OK: weights sum to 100%","ERROR: weights must sum to 1")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2026-07-17T06:19:57Z</dcterms:created>
  <dcterms:modified xsi:type="dcterms:W3CDTF">2026-09-03T18:38:47Z</dcterms:modified>
</cp:coreProperties>
</file>